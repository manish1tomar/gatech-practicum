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C\PycharmProjects\PythonProject\src\"/>
    </mc:Choice>
  </mc:AlternateContent>
  <xr:revisionPtr revIDLastSave="0" documentId="13_ncr:1_{728A5A36-4C28-4C46-A4D6-F7BD7776D7BF}" xr6:coauthVersionLast="47" xr6:coauthVersionMax="47" xr10:uidLastSave="{00000000-0000-0000-0000-000000000000}"/>
  <bookViews>
    <workbookView xWindow="38290" yWindow="-110" windowWidth="38620" windowHeight="21100" activeTab="2" xr2:uid="{00000000-000D-0000-FFFF-FFFF00000000}"/>
  </bookViews>
  <sheets>
    <sheet name="02-Sep-2025" sheetId="1" r:id="rId1"/>
    <sheet name="09-Sep-2025" sheetId="2" r:id="rId2"/>
    <sheet name="16-Sep-2025" sheetId="3" r:id="rId3"/>
    <sheet name="28-Aug-202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K2" i="1"/>
  <c r="L2" i="2"/>
  <c r="K2" i="2"/>
  <c r="L2" i="3"/>
  <c r="K2" i="3"/>
  <c r="K2" i="4"/>
  <c r="L2" i="4"/>
</calcChain>
</file>

<file path=xl/sharedStrings.xml><?xml version="1.0" encoding="utf-8"?>
<sst xmlns="http://schemas.openxmlformats.org/spreadsheetml/2006/main" count="48" uniqueCount="15">
  <si>
    <t>underlying</t>
  </si>
  <si>
    <t>expiry</t>
  </si>
  <si>
    <t>strike_atm</t>
  </si>
  <si>
    <t>premium</t>
  </si>
  <si>
    <t>flat_return%</t>
  </si>
  <si>
    <t>if_called_return%</t>
  </si>
  <si>
    <t>flat_ann%</t>
  </si>
  <si>
    <t>if_called_ann%</t>
  </si>
  <si>
    <t>days_to_expiry</t>
  </si>
  <si>
    <t>data_timestamp</t>
  </si>
  <si>
    <t>02-Sep-2025</t>
  </si>
  <si>
    <t>22-Aug-2025 15:30:00</t>
  </si>
  <si>
    <t>09-Sep-2025</t>
  </si>
  <si>
    <t>16-Sep-2025</t>
  </si>
  <si>
    <t>28-Aug-2025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</si>
</sst>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selection activeCell="H30" sqref="H30"/>
    </sheetView>
  </sheetViews>
  <sheetFormatPr defaultRowHeight="14.4" x14ac:dyDescent="0.55000000000000004"/>
  <cols>
    <col min="1" max="1" width="9.41796875" bestFit="1" customWidth="1"/>
    <col min="2" max="2" width="10.68359375" bestFit="1" customWidth="1"/>
    <col min="3" max="3" width="9.5234375" bestFit="1" customWidth="1"/>
    <col min="4" max="4" width="8.1015625" bestFit="1" customWidth="1"/>
    <col min="5" max="5" width="11" bestFit="1" customWidth="1"/>
    <col min="6" max="6" width="15.05078125" bestFit="1" customWidth="1"/>
    <col min="7" max="7" width="8.89453125" bestFit="1" customWidth="1"/>
    <col min="8" max="8" width="12.9453125" bestFit="1" customWidth="1"/>
    <col min="9" max="9" width="13.15625" bestFit="1" customWidth="1"/>
    <col min="10" max="10" width="18.41796875" bestFit="1" customWidth="1"/>
    <col min="11" max="12" width="9.7890625" bestFit="1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55000000000000004">
      <c r="A2">
        <v>24870.1</v>
      </c>
      <c r="B2" t="s">
        <v>10</v>
      </c>
      <c r="C2">
        <v>24850</v>
      </c>
      <c r="D2">
        <v>210.9</v>
      </c>
      <c r="E2">
        <v>0.77400000000000002</v>
      </c>
      <c r="F2">
        <v>0.77400000000000002</v>
      </c>
      <c r="G2">
        <v>36.700000000000003</v>
      </c>
      <c r="H2">
        <v>36.700000000000003</v>
      </c>
      <c r="I2">
        <v>9</v>
      </c>
      <c r="J2" t="s">
        <v>11</v>
      </c>
      <c r="K2" s="2">
        <f>A2*75</f>
        <v>1865257.5</v>
      </c>
      <c r="L2" s="2">
        <f>75*D2</f>
        <v>15817.5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selection activeCell="H5" sqref="H5"/>
    </sheetView>
  </sheetViews>
  <sheetFormatPr defaultRowHeight="14.4" x14ac:dyDescent="0.55000000000000004"/>
  <cols>
    <col min="1" max="1" width="9.41796875" bestFit="1" customWidth="1"/>
    <col min="2" max="2" width="10.68359375" bestFit="1" customWidth="1"/>
    <col min="3" max="3" width="9.5234375" bestFit="1" customWidth="1"/>
    <col min="4" max="4" width="8.1015625" bestFit="1" customWidth="1"/>
    <col min="5" max="5" width="11" bestFit="1" customWidth="1"/>
    <col min="6" max="6" width="15.05078125" bestFit="1" customWidth="1"/>
    <col min="7" max="7" width="8.89453125" bestFit="1" customWidth="1"/>
    <col min="8" max="8" width="12.9453125" bestFit="1" customWidth="1"/>
    <col min="9" max="9" width="13.15625" bestFit="1" customWidth="1"/>
    <col min="10" max="10" width="18.41796875" bestFit="1" customWidth="1"/>
    <col min="11" max="12" width="9.7890625" bestFit="1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55000000000000004">
      <c r="A2">
        <v>24870.1</v>
      </c>
      <c r="B2" t="s">
        <v>12</v>
      </c>
      <c r="C2">
        <v>24850</v>
      </c>
      <c r="D2">
        <v>295.75</v>
      </c>
      <c r="E2">
        <v>1.1220000000000001</v>
      </c>
      <c r="F2">
        <v>1.1220000000000001</v>
      </c>
      <c r="G2">
        <v>28.98</v>
      </c>
      <c r="H2">
        <v>28.98</v>
      </c>
      <c r="I2">
        <v>16</v>
      </c>
      <c r="J2" t="s">
        <v>11</v>
      </c>
      <c r="K2" s="2">
        <f>A2*75</f>
        <v>1865257.5</v>
      </c>
      <c r="L2" s="2">
        <f>75*D2</f>
        <v>22181.25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tabSelected="1" workbookViewId="0">
      <selection activeCell="I14" sqref="I14"/>
    </sheetView>
  </sheetViews>
  <sheetFormatPr defaultRowHeight="14.4" x14ac:dyDescent="0.55000000000000004"/>
  <cols>
    <col min="1" max="1" width="9.41796875" bestFit="1" customWidth="1"/>
    <col min="2" max="2" width="10.68359375" bestFit="1" customWidth="1"/>
    <col min="3" max="3" width="9.5234375" bestFit="1" customWidth="1"/>
    <col min="4" max="4" width="8.1015625" bestFit="1" customWidth="1"/>
    <col min="5" max="5" width="11" bestFit="1" customWidth="1"/>
    <col min="6" max="6" width="15.05078125" bestFit="1" customWidth="1"/>
    <col min="7" max="7" width="8.89453125" bestFit="1" customWidth="1"/>
    <col min="8" max="8" width="12.9453125" bestFit="1" customWidth="1"/>
    <col min="9" max="9" width="13.15625" bestFit="1" customWidth="1"/>
    <col min="10" max="10" width="18.41796875" bestFit="1" customWidth="1"/>
    <col min="11" max="12" width="9.7890625" bestFit="1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55000000000000004">
      <c r="A2">
        <v>24870.1</v>
      </c>
      <c r="B2" t="s">
        <v>13</v>
      </c>
      <c r="C2">
        <v>24850</v>
      </c>
      <c r="D2">
        <v>345</v>
      </c>
      <c r="E2">
        <v>1.325</v>
      </c>
      <c r="F2">
        <v>1.325</v>
      </c>
      <c r="G2">
        <v>23.23</v>
      </c>
      <c r="H2">
        <v>23.23</v>
      </c>
      <c r="I2">
        <v>23</v>
      </c>
      <c r="J2" t="s">
        <v>11</v>
      </c>
      <c r="K2" s="2">
        <f>A2*75</f>
        <v>1865257.5</v>
      </c>
      <c r="L2" s="2">
        <f>75*D2</f>
        <v>25875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workbookViewId="0">
      <selection activeCell="H33" sqref="H33"/>
    </sheetView>
  </sheetViews>
  <sheetFormatPr defaultRowHeight="14.4" x14ac:dyDescent="0.55000000000000004"/>
  <cols>
    <col min="1" max="1" width="9.41796875" bestFit="1" customWidth="1"/>
    <col min="2" max="2" width="10.83984375" bestFit="1" customWidth="1"/>
    <col min="3" max="3" width="9.5234375" bestFit="1" customWidth="1"/>
    <col min="4" max="4" width="8.1015625" bestFit="1" customWidth="1"/>
    <col min="5" max="5" width="11" bestFit="1" customWidth="1"/>
    <col min="6" max="6" width="15.05078125" bestFit="1" customWidth="1"/>
    <col min="7" max="7" width="8.89453125" bestFit="1" customWidth="1"/>
    <col min="8" max="8" width="12.9453125" bestFit="1" customWidth="1"/>
    <col min="9" max="9" width="13.15625" bestFit="1" customWidth="1"/>
    <col min="10" max="10" width="18.41796875" bestFit="1" customWidth="1"/>
    <col min="11" max="11" width="12.26171875" bestFit="1" customWidth="1"/>
    <col min="12" max="12" width="9.7890625" bestFit="1" customWidth="1"/>
  </cols>
  <sheetData>
    <row r="1" spans="1:1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 x14ac:dyDescent="0.55000000000000004">
      <c r="A2">
        <v>24870.1</v>
      </c>
      <c r="B2" t="s">
        <v>14</v>
      </c>
      <c r="C2">
        <v>24850</v>
      </c>
      <c r="D2">
        <v>139.15</v>
      </c>
      <c r="E2">
        <v>0.48099999999999998</v>
      </c>
      <c r="F2">
        <v>0.48099999999999998</v>
      </c>
      <c r="G2">
        <v>54.99</v>
      </c>
      <c r="H2">
        <v>54.99</v>
      </c>
      <c r="I2">
        <v>4</v>
      </c>
      <c r="J2" t="s">
        <v>11</v>
      </c>
      <c r="K2" s="2">
        <f>A2*75</f>
        <v>1865257.5</v>
      </c>
      <c r="L2" s="2">
        <f>75*D2</f>
        <v>10436.25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02-Sep-2025</vt:lpstr>
      <vt:lpstr>09-Sep-2025</vt:lpstr>
      <vt:lpstr>16-Sep-2025</vt:lpstr>
      <vt:lpstr>28-Aug-2025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Manish Tomar</cp:lastModifiedBy>
  <dcterms:created xsi:type="dcterms:W3CDTF">2025-08-24T23:05:21Z</dcterms:created>
  <dcterms:modified xsi:type="dcterms:W3CDTF">2025-08-24T23:09:03Z</dcterms:modified>
</cp:coreProperties>
</file>