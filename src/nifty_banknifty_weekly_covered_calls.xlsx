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PycharmProjects\PythonProject\src\"/>
    </mc:Choice>
  </mc:AlternateContent>
  <xr:revisionPtr revIDLastSave="0" documentId="13_ncr:1_{49D152CE-40E4-41A8-90D4-FCBFEE8F99ED}" xr6:coauthVersionLast="47" xr6:coauthVersionMax="47" xr10:uidLastSave="{00000000-0000-0000-0000-000000000000}"/>
  <bookViews>
    <workbookView xWindow="38290" yWindow="-110" windowWidth="38620" windowHeight="21100" activeTab="3" xr2:uid="{00000000-000D-0000-FFFF-FFFF00000000}"/>
  </bookViews>
  <sheets>
    <sheet name="02-Sep-2025" sheetId="1" r:id="rId1"/>
    <sheet name="09-Sep-2025" sheetId="2" r:id="rId2"/>
    <sheet name="16-Sep-2025" sheetId="3" r:id="rId3"/>
    <sheet name="28-Aug-2025" sheetId="4" r:id="rId4"/>
    <sheet name="28-Oct-2025" sheetId="5" r:id="rId5"/>
    <sheet name="30-Sep-202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4" l="1"/>
  <c r="Q2" i="4"/>
</calcChain>
</file>

<file path=xl/sharedStrings.xml><?xml version="1.0" encoding="utf-8"?>
<sst xmlns="http://schemas.openxmlformats.org/spreadsheetml/2006/main" count="105" uniqueCount="23">
  <si>
    <t>symbol</t>
  </si>
  <si>
    <t>lot_size</t>
  </si>
  <si>
    <t>underlying</t>
  </si>
  <si>
    <t>expiry</t>
  </si>
  <si>
    <t>strike_atm</t>
  </si>
  <si>
    <t>premium</t>
  </si>
  <si>
    <t>flat_return%</t>
  </si>
  <si>
    <t>if_called_return%</t>
  </si>
  <si>
    <t>flat_ann%</t>
  </si>
  <si>
    <t>if_called_ann%</t>
  </si>
  <si>
    <t>flat_abs_₹</t>
  </si>
  <si>
    <t>if_called_abs_₹</t>
  </si>
  <si>
    <t>days_to_expiry</t>
  </si>
  <si>
    <t>data_timestamp</t>
  </si>
  <si>
    <t>NIFTY</t>
  </si>
  <si>
    <t>02-Sep-2025</t>
  </si>
  <si>
    <t>22-Aug-2025 15:30:00</t>
  </si>
  <si>
    <t>09-Sep-2025</t>
  </si>
  <si>
    <t>16-Sep-2025</t>
  </si>
  <si>
    <t>BANKNIFTY</t>
  </si>
  <si>
    <t>28-Aug-2025</t>
  </si>
  <si>
    <t>28-Oct-2025</t>
  </si>
  <si>
    <t>30-Sep-2025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</si>
</sst>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50</v>
      </c>
      <c r="C2">
        <v>24870.1</v>
      </c>
      <c r="D2" t="s">
        <v>15</v>
      </c>
      <c r="E2">
        <v>24850</v>
      </c>
      <c r="F2">
        <v>210.9</v>
      </c>
      <c r="G2">
        <v>0.77400000000000002</v>
      </c>
      <c r="H2">
        <v>0.77400000000000002</v>
      </c>
      <c r="I2">
        <v>36.700000000000003</v>
      </c>
      <c r="J2">
        <v>36.700000000000003</v>
      </c>
      <c r="K2">
        <v>9621.59</v>
      </c>
      <c r="L2">
        <v>9621.59</v>
      </c>
      <c r="M2">
        <v>9</v>
      </c>
      <c r="N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50</v>
      </c>
      <c r="C2">
        <v>24870.1</v>
      </c>
      <c r="D2" t="s">
        <v>17</v>
      </c>
      <c r="E2">
        <v>24850</v>
      </c>
      <c r="F2">
        <v>295.75</v>
      </c>
      <c r="G2">
        <v>1.1220000000000001</v>
      </c>
      <c r="H2">
        <v>1.1220000000000001</v>
      </c>
      <c r="I2">
        <v>28.98</v>
      </c>
      <c r="J2">
        <v>28.98</v>
      </c>
      <c r="K2">
        <v>13948.37</v>
      </c>
      <c r="L2">
        <v>13948.37</v>
      </c>
      <c r="M2">
        <v>16</v>
      </c>
      <c r="N2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>
        <v>50</v>
      </c>
      <c r="C2">
        <v>24870.1</v>
      </c>
      <c r="D2" t="s">
        <v>18</v>
      </c>
      <c r="E2">
        <v>24850</v>
      </c>
      <c r="F2">
        <v>345</v>
      </c>
      <c r="G2">
        <v>1.325</v>
      </c>
      <c r="H2">
        <v>1.325</v>
      </c>
      <c r="I2">
        <v>23.23</v>
      </c>
      <c r="J2">
        <v>23.23</v>
      </c>
      <c r="K2">
        <v>16473.52</v>
      </c>
      <c r="L2">
        <v>16473.52</v>
      </c>
      <c r="M2">
        <v>23</v>
      </c>
      <c r="N2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"/>
  <sheetViews>
    <sheetView tabSelected="1" workbookViewId="0">
      <selection activeCell="V20" sqref="V20"/>
    </sheetView>
  </sheetViews>
  <sheetFormatPr defaultRowHeight="14.4" x14ac:dyDescent="0.55000000000000004"/>
  <sheetData>
    <row r="1" spans="1:1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55000000000000004">
      <c r="A2" t="s">
        <v>19</v>
      </c>
      <c r="B2">
        <v>15</v>
      </c>
      <c r="C2">
        <v>55149.4</v>
      </c>
      <c r="D2" t="s">
        <v>20</v>
      </c>
      <c r="E2">
        <v>55100</v>
      </c>
      <c r="F2">
        <v>378.55</v>
      </c>
      <c r="G2">
        <v>0.60099999999999998</v>
      </c>
      <c r="H2">
        <v>0.60099999999999998</v>
      </c>
      <c r="I2">
        <v>72.760000000000005</v>
      </c>
      <c r="J2">
        <v>72.760000000000005</v>
      </c>
      <c r="K2">
        <v>4971.37</v>
      </c>
      <c r="L2">
        <v>4971.37</v>
      </c>
      <c r="M2">
        <v>4</v>
      </c>
      <c r="N2" t="s">
        <v>16</v>
      </c>
      <c r="Q2">
        <f>35*F2</f>
        <v>13249.25</v>
      </c>
    </row>
    <row r="3" spans="1:17" x14ac:dyDescent="0.55000000000000004">
      <c r="A3" t="s">
        <v>14</v>
      </c>
      <c r="B3">
        <v>50</v>
      </c>
      <c r="C3">
        <v>24870.1</v>
      </c>
      <c r="D3" t="s">
        <v>20</v>
      </c>
      <c r="E3">
        <v>24850</v>
      </c>
      <c r="F3">
        <v>139.15</v>
      </c>
      <c r="G3">
        <v>0.48099999999999998</v>
      </c>
      <c r="H3">
        <v>0.48099999999999998</v>
      </c>
      <c r="I3">
        <v>54.99</v>
      </c>
      <c r="J3">
        <v>54.99</v>
      </c>
      <c r="K3">
        <v>5985.99</v>
      </c>
      <c r="L3">
        <v>5985.99</v>
      </c>
      <c r="M3">
        <v>4</v>
      </c>
      <c r="N3" t="s">
        <v>16</v>
      </c>
      <c r="Q3">
        <f>35*F3</f>
        <v>4870.25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19</v>
      </c>
      <c r="B2">
        <v>15</v>
      </c>
      <c r="C2">
        <v>55149.4</v>
      </c>
      <c r="D2" t="s">
        <v>21</v>
      </c>
      <c r="E2">
        <v>55100</v>
      </c>
      <c r="F2">
        <v>0</v>
      </c>
      <c r="G2">
        <v>-0.09</v>
      </c>
      <c r="H2">
        <v>-0.09</v>
      </c>
      <c r="I2">
        <v>-0.5</v>
      </c>
      <c r="J2">
        <v>-0.5</v>
      </c>
      <c r="K2">
        <v>-741</v>
      </c>
      <c r="L2">
        <v>-741</v>
      </c>
      <c r="M2">
        <v>65</v>
      </c>
      <c r="N2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"/>
  <sheetViews>
    <sheetView workbookViewId="0"/>
  </sheetViews>
  <sheetFormatPr defaultRowHeight="14.4" x14ac:dyDescent="0.55000000000000004"/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19</v>
      </c>
      <c r="B2">
        <v>15</v>
      </c>
      <c r="C2">
        <v>55149.4</v>
      </c>
      <c r="D2" t="s">
        <v>22</v>
      </c>
      <c r="E2">
        <v>55100</v>
      </c>
      <c r="F2">
        <v>1052</v>
      </c>
      <c r="G2">
        <v>1.853</v>
      </c>
      <c r="H2">
        <v>1.853</v>
      </c>
      <c r="I2">
        <v>19.86</v>
      </c>
      <c r="J2">
        <v>19.86</v>
      </c>
      <c r="K2">
        <v>15331.45</v>
      </c>
      <c r="L2">
        <v>15331.45</v>
      </c>
      <c r="M2">
        <v>37</v>
      </c>
      <c r="N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02-Sep-2025</vt:lpstr>
      <vt:lpstr>09-Sep-2025</vt:lpstr>
      <vt:lpstr>16-Sep-2025</vt:lpstr>
      <vt:lpstr>28-Aug-2025</vt:lpstr>
      <vt:lpstr>28-Oct-2025</vt:lpstr>
      <vt:lpstr>30-Sep-2025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Tomar</cp:lastModifiedBy>
  <dcterms:created xsi:type="dcterms:W3CDTF">2025-08-24T23:11:24Z</dcterms:created>
  <dcterms:modified xsi:type="dcterms:W3CDTF">2025-08-24T23:12:15Z</dcterms:modified>
</cp:coreProperties>
</file>