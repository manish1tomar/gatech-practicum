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PycharmProjects\PythonProject\src\"/>
    </mc:Choice>
  </mc:AlternateContent>
  <xr:revisionPtr revIDLastSave="0" documentId="13_ncr:1_{47ECD01F-414E-4D8E-B519-D2AF55F570AB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25-Nov-2025" sheetId="1" r:id="rId1"/>
    <sheet name="28-Oct-2025" sheetId="2" r:id="rId2"/>
    <sheet name="30-Sep-2025" sheetId="3" r:id="rId3"/>
  </sheets>
  <definedNames>
    <definedName name="_xlnm._FilterDatabase" localSheetId="2" hidden="1">'30-Sep-2025'!$A$1:$P$1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O2" i="3"/>
  <c r="O12" i="3"/>
  <c r="P12" i="3" s="1"/>
</calcChain>
</file>

<file path=xl/sharedStrings.xml><?xml version="1.0" encoding="utf-8"?>
<sst xmlns="http://schemas.openxmlformats.org/spreadsheetml/2006/main" count="366" uniqueCount="68">
  <si>
    <t>symbol</t>
  </si>
  <si>
    <t>underlying</t>
  </si>
  <si>
    <t>expiry</t>
  </si>
  <si>
    <t>strike_atm</t>
  </si>
  <si>
    <t>call_premium</t>
  </si>
  <si>
    <t>put_premium</t>
  </si>
  <si>
    <t>flat_return%</t>
  </si>
  <si>
    <t>if_called_return%</t>
  </si>
  <si>
    <t>if_put_return%</t>
  </si>
  <si>
    <t>flat_ann%</t>
  </si>
  <si>
    <t>if_called_ann%</t>
  </si>
  <si>
    <t>if_put_ann%</t>
  </si>
  <si>
    <t>days_to_expiry</t>
  </si>
  <si>
    <t>data_timestamp</t>
  </si>
  <si>
    <t>TATASTEEL</t>
  </si>
  <si>
    <t>25-Nov-2025</t>
  </si>
  <si>
    <t>09-Sep-2025 15:30:00</t>
  </si>
  <si>
    <t>COALINDIA</t>
  </si>
  <si>
    <t>M&amp;M</t>
  </si>
  <si>
    <t>ITC</t>
  </si>
  <si>
    <t>ONGC</t>
  </si>
  <si>
    <t>RELIANCE</t>
  </si>
  <si>
    <t>TATAMOTORS</t>
  </si>
  <si>
    <t>WIPRO</t>
  </si>
  <si>
    <t>ADANIENT</t>
  </si>
  <si>
    <t>28-Oct-2025</t>
  </si>
  <si>
    <t>INDUSINDBK</t>
  </si>
  <si>
    <t>BAJAJFINSV</t>
  </si>
  <si>
    <t>SUNPHARMA</t>
  </si>
  <si>
    <t>LT</t>
  </si>
  <si>
    <t>HINDUNILVR</t>
  </si>
  <si>
    <t>POWERGRID</t>
  </si>
  <si>
    <t>AXISBANK</t>
  </si>
  <si>
    <t>NESTLEIND</t>
  </si>
  <si>
    <t>DIVISLAB</t>
  </si>
  <si>
    <t>HINDALCO</t>
  </si>
  <si>
    <t>ICICIBANK</t>
  </si>
  <si>
    <t>ULTRACEMCO</t>
  </si>
  <si>
    <t>NTPC</t>
  </si>
  <si>
    <t>SBIN</t>
  </si>
  <si>
    <t>HCLTECH</t>
  </si>
  <si>
    <t>BHARTIARTL</t>
  </si>
  <si>
    <t>GRASIM</t>
  </si>
  <si>
    <t>KOTAKBANK</t>
  </si>
  <si>
    <t>HDFCLIFE</t>
  </si>
  <si>
    <t>TECHM</t>
  </si>
  <si>
    <t>BAJFINANCE</t>
  </si>
  <si>
    <t>EICHERMOT</t>
  </si>
  <si>
    <t>HDFCBANK</t>
  </si>
  <si>
    <t>TCS</t>
  </si>
  <si>
    <t>CIPLA</t>
  </si>
  <si>
    <t>INFY</t>
  </si>
  <si>
    <t>ADANIPORTS</t>
  </si>
  <si>
    <t>TATACONSUM</t>
  </si>
  <si>
    <t>SHRIRAMFIN</t>
  </si>
  <si>
    <t>TITAN</t>
  </si>
  <si>
    <t>BRITANNIA</t>
  </si>
  <si>
    <t>APOLLOHOSP</t>
  </si>
  <si>
    <t>BPCL</t>
  </si>
  <si>
    <t>JSWSTEEL</t>
  </si>
  <si>
    <t>MARUTI</t>
  </si>
  <si>
    <t>BAJAJ-AUTO</t>
  </si>
  <si>
    <t>DRREDDY</t>
  </si>
  <si>
    <t>HEROMOTOCO</t>
  </si>
  <si>
    <t>ASIANPAINT</t>
  </si>
  <si>
    <t>SBILIFE</t>
  </si>
  <si>
    <t>LTIM</t>
  </si>
  <si>
    <t>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</si>
</sst>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169.45</v>
      </c>
      <c r="C2" t="s">
        <v>15</v>
      </c>
      <c r="D2">
        <v>170</v>
      </c>
      <c r="E2">
        <v>8.5500000000000007</v>
      </c>
      <c r="F2">
        <v>0</v>
      </c>
      <c r="G2">
        <v>5.3140000000000001</v>
      </c>
      <c r="H2">
        <v>5.6559999999999997</v>
      </c>
      <c r="I2">
        <v>5.6559999999999997</v>
      </c>
      <c r="J2">
        <v>27.82</v>
      </c>
      <c r="K2">
        <v>29.8</v>
      </c>
      <c r="L2">
        <v>29.8</v>
      </c>
      <c r="M2">
        <v>77</v>
      </c>
      <c r="N2" t="s">
        <v>16</v>
      </c>
    </row>
    <row r="3" spans="1:14" x14ac:dyDescent="0.55000000000000004">
      <c r="A3" t="s">
        <v>17</v>
      </c>
      <c r="B3">
        <v>388.75</v>
      </c>
      <c r="C3" t="s">
        <v>15</v>
      </c>
      <c r="D3">
        <v>390</v>
      </c>
      <c r="E3">
        <v>0</v>
      </c>
      <c r="F3">
        <v>0</v>
      </c>
      <c r="G3">
        <v>0</v>
      </c>
      <c r="H3">
        <v>0.32200000000000001</v>
      </c>
      <c r="I3">
        <v>0.32200000000000001</v>
      </c>
      <c r="J3">
        <v>0</v>
      </c>
      <c r="K3">
        <v>1.53</v>
      </c>
      <c r="L3">
        <v>1.53</v>
      </c>
      <c r="M3">
        <v>77</v>
      </c>
      <c r="N3" t="s">
        <v>16</v>
      </c>
    </row>
    <row r="4" spans="1:14" x14ac:dyDescent="0.55000000000000004">
      <c r="A4" t="s">
        <v>18</v>
      </c>
      <c r="B4">
        <v>3702</v>
      </c>
      <c r="C4" t="s">
        <v>15</v>
      </c>
      <c r="D4">
        <v>3700</v>
      </c>
      <c r="E4">
        <v>0</v>
      </c>
      <c r="F4">
        <v>0</v>
      </c>
      <c r="G4">
        <v>0</v>
      </c>
      <c r="H4">
        <v>-5.3999999999999999E-2</v>
      </c>
      <c r="I4">
        <v>-5.3999999999999999E-2</v>
      </c>
      <c r="J4">
        <v>0</v>
      </c>
      <c r="K4">
        <v>-0.26</v>
      </c>
      <c r="L4">
        <v>-0.26</v>
      </c>
      <c r="M4">
        <v>77</v>
      </c>
      <c r="N4" t="s">
        <v>16</v>
      </c>
    </row>
    <row r="5" spans="1:14" x14ac:dyDescent="0.55000000000000004">
      <c r="A5" t="s">
        <v>19</v>
      </c>
      <c r="B5">
        <v>410</v>
      </c>
      <c r="C5" t="s">
        <v>15</v>
      </c>
      <c r="D5">
        <v>410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77</v>
      </c>
      <c r="N5" t="s">
        <v>16</v>
      </c>
    </row>
    <row r="6" spans="1:14" x14ac:dyDescent="0.55000000000000004">
      <c r="A6" t="s">
        <v>20</v>
      </c>
      <c r="B6">
        <v>231.8</v>
      </c>
      <c r="C6" t="s">
        <v>15</v>
      </c>
      <c r="D6">
        <v>230</v>
      </c>
      <c r="E6">
        <v>0</v>
      </c>
      <c r="F6">
        <v>0</v>
      </c>
      <c r="G6">
        <v>0</v>
      </c>
      <c r="H6">
        <v>-0.77700000000000002</v>
      </c>
      <c r="I6">
        <v>-0.77700000000000002</v>
      </c>
      <c r="J6">
        <v>0</v>
      </c>
      <c r="K6">
        <v>-3.63</v>
      </c>
      <c r="L6">
        <v>-3.63</v>
      </c>
      <c r="M6">
        <v>77</v>
      </c>
      <c r="N6" t="s">
        <v>16</v>
      </c>
    </row>
    <row r="7" spans="1:14" x14ac:dyDescent="0.55000000000000004">
      <c r="A7" t="s">
        <v>21</v>
      </c>
      <c r="B7">
        <v>1376.1</v>
      </c>
      <c r="C7" t="s">
        <v>15</v>
      </c>
      <c r="D7">
        <v>1380</v>
      </c>
      <c r="E7">
        <v>0</v>
      </c>
      <c r="F7">
        <v>0</v>
      </c>
      <c r="G7">
        <v>0</v>
      </c>
      <c r="H7">
        <v>0.28299999999999997</v>
      </c>
      <c r="I7">
        <v>0.28299999999999997</v>
      </c>
      <c r="J7">
        <v>0</v>
      </c>
      <c r="K7">
        <v>1.35</v>
      </c>
      <c r="L7">
        <v>1.35</v>
      </c>
      <c r="M7">
        <v>77</v>
      </c>
      <c r="N7" t="s">
        <v>16</v>
      </c>
    </row>
    <row r="8" spans="1:14" x14ac:dyDescent="0.55000000000000004">
      <c r="A8" t="s">
        <v>22</v>
      </c>
      <c r="B8">
        <v>715.2</v>
      </c>
      <c r="C8" t="s">
        <v>15</v>
      </c>
      <c r="D8">
        <v>720</v>
      </c>
      <c r="E8">
        <v>0</v>
      </c>
      <c r="F8">
        <v>0</v>
      </c>
      <c r="G8">
        <v>0</v>
      </c>
      <c r="H8">
        <v>0.67100000000000004</v>
      </c>
      <c r="I8">
        <v>0.67100000000000004</v>
      </c>
      <c r="J8">
        <v>0</v>
      </c>
      <c r="K8">
        <v>3.22</v>
      </c>
      <c r="L8">
        <v>3.22</v>
      </c>
      <c r="M8">
        <v>77</v>
      </c>
      <c r="N8" t="s">
        <v>16</v>
      </c>
    </row>
    <row r="9" spans="1:14" x14ac:dyDescent="0.55000000000000004">
      <c r="A9" t="s">
        <v>23</v>
      </c>
      <c r="B9">
        <v>249.34</v>
      </c>
      <c r="C9" t="s">
        <v>15</v>
      </c>
      <c r="D9">
        <v>250</v>
      </c>
      <c r="E9">
        <v>10.7</v>
      </c>
      <c r="F9">
        <v>11</v>
      </c>
      <c r="G9">
        <v>-0.12</v>
      </c>
      <c r="H9">
        <v>0.14399999999999999</v>
      </c>
      <c r="I9">
        <v>0.14399999999999999</v>
      </c>
      <c r="J9">
        <v>-0.56999999999999995</v>
      </c>
      <c r="K9">
        <v>0.69</v>
      </c>
      <c r="L9">
        <v>0.69</v>
      </c>
      <c r="M9">
        <v>77</v>
      </c>
      <c r="N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24</v>
      </c>
      <c r="B2">
        <v>2313.8000000000002</v>
      </c>
      <c r="C2" t="s">
        <v>25</v>
      </c>
      <c r="D2">
        <v>2300</v>
      </c>
      <c r="E2">
        <v>112.2</v>
      </c>
      <c r="F2">
        <v>0</v>
      </c>
      <c r="G2">
        <v>5.0960000000000001</v>
      </c>
      <c r="H2">
        <v>4.4690000000000003</v>
      </c>
      <c r="I2">
        <v>4.4690000000000003</v>
      </c>
      <c r="J2">
        <v>44.81</v>
      </c>
      <c r="K2">
        <v>38.5</v>
      </c>
      <c r="L2">
        <v>38.5</v>
      </c>
      <c r="M2">
        <v>49</v>
      </c>
      <c r="N2" t="s">
        <v>16</v>
      </c>
    </row>
    <row r="3" spans="1:14" x14ac:dyDescent="0.55000000000000004">
      <c r="A3" t="s">
        <v>26</v>
      </c>
      <c r="B3">
        <v>746</v>
      </c>
      <c r="C3" t="s">
        <v>25</v>
      </c>
      <c r="D3">
        <v>750</v>
      </c>
      <c r="E3">
        <v>32.5</v>
      </c>
      <c r="F3">
        <v>0</v>
      </c>
      <c r="G3">
        <v>4.5549999999999997</v>
      </c>
      <c r="H3">
        <v>5.1159999999999997</v>
      </c>
      <c r="I3">
        <v>5.1159999999999997</v>
      </c>
      <c r="J3">
        <v>39.35</v>
      </c>
      <c r="K3">
        <v>45.01</v>
      </c>
      <c r="L3">
        <v>45.01</v>
      </c>
      <c r="M3">
        <v>49</v>
      </c>
      <c r="N3" t="s">
        <v>16</v>
      </c>
    </row>
    <row r="4" spans="1:14" x14ac:dyDescent="0.55000000000000004">
      <c r="A4" t="s">
        <v>27</v>
      </c>
      <c r="B4">
        <v>2026.6</v>
      </c>
      <c r="C4" t="s">
        <v>25</v>
      </c>
      <c r="D4">
        <v>2020</v>
      </c>
      <c r="E4">
        <v>78.099999999999994</v>
      </c>
      <c r="F4">
        <v>0</v>
      </c>
      <c r="G4">
        <v>4.008</v>
      </c>
      <c r="H4">
        <v>3.669</v>
      </c>
      <c r="I4">
        <v>3.669</v>
      </c>
      <c r="J4">
        <v>34.01</v>
      </c>
      <c r="K4">
        <v>30.79</v>
      </c>
      <c r="L4">
        <v>30.79</v>
      </c>
      <c r="M4">
        <v>49</v>
      </c>
      <c r="N4" t="s">
        <v>16</v>
      </c>
    </row>
    <row r="5" spans="1:14" x14ac:dyDescent="0.55000000000000004">
      <c r="A5" t="s">
        <v>28</v>
      </c>
      <c r="B5">
        <v>1594</v>
      </c>
      <c r="C5" t="s">
        <v>25</v>
      </c>
      <c r="D5">
        <v>1600</v>
      </c>
      <c r="E5">
        <v>46.5</v>
      </c>
      <c r="F5">
        <v>0</v>
      </c>
      <c r="G5">
        <v>3.0049999999999999</v>
      </c>
      <c r="H5">
        <v>3.3929999999999998</v>
      </c>
      <c r="I5">
        <v>3.3929999999999998</v>
      </c>
      <c r="J5">
        <v>24.67</v>
      </c>
      <c r="K5">
        <v>28.21</v>
      </c>
      <c r="L5">
        <v>28.21</v>
      </c>
      <c r="M5">
        <v>49</v>
      </c>
      <c r="N5" t="s">
        <v>16</v>
      </c>
    </row>
    <row r="6" spans="1:14" x14ac:dyDescent="0.55000000000000004">
      <c r="A6" t="s">
        <v>29</v>
      </c>
      <c r="B6">
        <v>3527.5</v>
      </c>
      <c r="C6" t="s">
        <v>25</v>
      </c>
      <c r="D6">
        <v>3550</v>
      </c>
      <c r="E6">
        <v>98</v>
      </c>
      <c r="F6">
        <v>0</v>
      </c>
      <c r="G6">
        <v>2.8580000000000001</v>
      </c>
      <c r="H6">
        <v>3.5139999999999998</v>
      </c>
      <c r="I6">
        <v>3.5139999999999998</v>
      </c>
      <c r="J6">
        <v>23.35</v>
      </c>
      <c r="K6">
        <v>29.34</v>
      </c>
      <c r="L6">
        <v>29.34</v>
      </c>
      <c r="M6">
        <v>49</v>
      </c>
      <c r="N6" t="s">
        <v>16</v>
      </c>
    </row>
    <row r="7" spans="1:14" x14ac:dyDescent="0.55000000000000004">
      <c r="A7" t="s">
        <v>30</v>
      </c>
      <c r="B7">
        <v>2640.2</v>
      </c>
      <c r="C7" t="s">
        <v>25</v>
      </c>
      <c r="D7">
        <v>2640</v>
      </c>
      <c r="E7">
        <v>72.5</v>
      </c>
      <c r="F7">
        <v>0</v>
      </c>
      <c r="G7">
        <v>2.8239999999999998</v>
      </c>
      <c r="H7">
        <v>2.8159999999999998</v>
      </c>
      <c r="I7">
        <v>2.8159999999999998</v>
      </c>
      <c r="J7">
        <v>23.05</v>
      </c>
      <c r="K7">
        <v>22.98</v>
      </c>
      <c r="L7">
        <v>22.98</v>
      </c>
      <c r="M7">
        <v>49</v>
      </c>
      <c r="N7" t="s">
        <v>16</v>
      </c>
    </row>
    <row r="8" spans="1:14" x14ac:dyDescent="0.55000000000000004">
      <c r="A8" t="s">
        <v>31</v>
      </c>
      <c r="B8">
        <v>284.14999999999998</v>
      </c>
      <c r="C8" t="s">
        <v>25</v>
      </c>
      <c r="D8">
        <v>285</v>
      </c>
      <c r="E8">
        <v>7.75</v>
      </c>
      <c r="F8">
        <v>0</v>
      </c>
      <c r="G8">
        <v>2.8039999999999998</v>
      </c>
      <c r="H8">
        <v>3.1110000000000002</v>
      </c>
      <c r="I8">
        <v>3.1110000000000002</v>
      </c>
      <c r="J8">
        <v>22.87</v>
      </c>
      <c r="K8">
        <v>25.64</v>
      </c>
      <c r="L8">
        <v>25.64</v>
      </c>
      <c r="M8">
        <v>49</v>
      </c>
      <c r="N8" t="s">
        <v>16</v>
      </c>
    </row>
    <row r="9" spans="1:14" x14ac:dyDescent="0.55000000000000004">
      <c r="A9" t="s">
        <v>20</v>
      </c>
      <c r="B9">
        <v>231.8</v>
      </c>
      <c r="C9" t="s">
        <v>25</v>
      </c>
      <c r="D9">
        <v>230</v>
      </c>
      <c r="E9">
        <v>8.9</v>
      </c>
      <c r="F9">
        <v>4.8</v>
      </c>
      <c r="G9">
        <v>1.8009999999999999</v>
      </c>
      <c r="H9">
        <v>1.01</v>
      </c>
      <c r="I9">
        <v>1.01</v>
      </c>
      <c r="J9">
        <v>14.22</v>
      </c>
      <c r="K9">
        <v>7.77</v>
      </c>
      <c r="L9">
        <v>7.77</v>
      </c>
      <c r="M9">
        <v>49</v>
      </c>
      <c r="N9" t="s">
        <v>16</v>
      </c>
    </row>
    <row r="10" spans="1:14" x14ac:dyDescent="0.55000000000000004">
      <c r="A10" t="s">
        <v>32</v>
      </c>
      <c r="B10">
        <v>1053.4000000000001</v>
      </c>
      <c r="C10" t="s">
        <v>25</v>
      </c>
      <c r="D10">
        <v>1050</v>
      </c>
      <c r="E10">
        <v>37.200000000000003</v>
      </c>
      <c r="F10">
        <v>23</v>
      </c>
      <c r="G10">
        <v>1.3660000000000001</v>
      </c>
      <c r="H10">
        <v>1.0389999999999999</v>
      </c>
      <c r="I10">
        <v>1.0389999999999999</v>
      </c>
      <c r="J10">
        <v>10.64</v>
      </c>
      <c r="K10">
        <v>8.01</v>
      </c>
      <c r="L10">
        <v>8.01</v>
      </c>
      <c r="M10">
        <v>49</v>
      </c>
      <c r="N10" t="s">
        <v>16</v>
      </c>
    </row>
    <row r="11" spans="1:14" x14ac:dyDescent="0.55000000000000004">
      <c r="A11" t="s">
        <v>33</v>
      </c>
      <c r="B11">
        <v>1200.5999999999999</v>
      </c>
      <c r="C11" t="s">
        <v>25</v>
      </c>
      <c r="D11">
        <v>1200</v>
      </c>
      <c r="E11">
        <v>40.5</v>
      </c>
      <c r="F11">
        <v>27.2</v>
      </c>
      <c r="G11">
        <v>1.1200000000000001</v>
      </c>
      <c r="H11">
        <v>1.07</v>
      </c>
      <c r="I11">
        <v>1.07</v>
      </c>
      <c r="J11">
        <v>8.65</v>
      </c>
      <c r="K11">
        <v>8.25</v>
      </c>
      <c r="L11">
        <v>8.25</v>
      </c>
      <c r="M11">
        <v>49</v>
      </c>
      <c r="N11" t="s">
        <v>16</v>
      </c>
    </row>
    <row r="12" spans="1:14" x14ac:dyDescent="0.55000000000000004">
      <c r="A12" t="s">
        <v>34</v>
      </c>
      <c r="B12">
        <v>6005</v>
      </c>
      <c r="C12" t="s">
        <v>25</v>
      </c>
      <c r="D12">
        <v>6000</v>
      </c>
      <c r="E12">
        <v>228.85</v>
      </c>
      <c r="F12">
        <v>162.94999999999999</v>
      </c>
      <c r="G12">
        <v>1.1100000000000001</v>
      </c>
      <c r="H12">
        <v>1.0249999999999999</v>
      </c>
      <c r="I12">
        <v>1.0249999999999999</v>
      </c>
      <c r="J12">
        <v>8.57</v>
      </c>
      <c r="K12">
        <v>7.9</v>
      </c>
      <c r="L12">
        <v>7.9</v>
      </c>
      <c r="M12">
        <v>49</v>
      </c>
      <c r="N12" t="s">
        <v>16</v>
      </c>
    </row>
    <row r="13" spans="1:14" x14ac:dyDescent="0.55000000000000004">
      <c r="A13" t="s">
        <v>35</v>
      </c>
      <c r="B13">
        <v>742.5</v>
      </c>
      <c r="C13" t="s">
        <v>25</v>
      </c>
      <c r="D13">
        <v>740</v>
      </c>
      <c r="E13">
        <v>28</v>
      </c>
      <c r="F13">
        <v>20.05</v>
      </c>
      <c r="G13">
        <v>1.0820000000000001</v>
      </c>
      <c r="H13">
        <v>0.74199999999999999</v>
      </c>
      <c r="I13">
        <v>0.74199999999999999</v>
      </c>
      <c r="J13">
        <v>8.35</v>
      </c>
      <c r="K13">
        <v>5.66</v>
      </c>
      <c r="L13">
        <v>5.66</v>
      </c>
      <c r="M13">
        <v>49</v>
      </c>
      <c r="N13" t="s">
        <v>16</v>
      </c>
    </row>
    <row r="14" spans="1:14" x14ac:dyDescent="0.55000000000000004">
      <c r="A14" t="s">
        <v>36</v>
      </c>
      <c r="B14">
        <v>1402.4</v>
      </c>
      <c r="C14" t="s">
        <v>25</v>
      </c>
      <c r="D14">
        <v>1400</v>
      </c>
      <c r="E14">
        <v>39.5</v>
      </c>
      <c r="F14">
        <v>25.6</v>
      </c>
      <c r="G14">
        <v>1.0009999999999999</v>
      </c>
      <c r="H14">
        <v>0.82799999999999996</v>
      </c>
      <c r="I14">
        <v>0.82799999999999996</v>
      </c>
      <c r="J14">
        <v>7.7</v>
      </c>
      <c r="K14">
        <v>6.34</v>
      </c>
      <c r="L14">
        <v>6.34</v>
      </c>
      <c r="M14">
        <v>49</v>
      </c>
      <c r="N14" t="s">
        <v>16</v>
      </c>
    </row>
    <row r="15" spans="1:14" x14ac:dyDescent="0.55000000000000004">
      <c r="A15" t="s">
        <v>37</v>
      </c>
      <c r="B15">
        <v>12562</v>
      </c>
      <c r="C15" t="s">
        <v>25</v>
      </c>
      <c r="D15">
        <v>12600</v>
      </c>
      <c r="E15">
        <v>440.9</v>
      </c>
      <c r="F15">
        <v>319.5</v>
      </c>
      <c r="G15">
        <v>0.97599999999999998</v>
      </c>
      <c r="H15">
        <v>1.2809999999999999</v>
      </c>
      <c r="I15">
        <v>1.2809999999999999</v>
      </c>
      <c r="J15">
        <v>7.5</v>
      </c>
      <c r="K15">
        <v>9.9499999999999993</v>
      </c>
      <c r="L15">
        <v>9.9499999999999993</v>
      </c>
      <c r="M15">
        <v>49</v>
      </c>
      <c r="N15" t="s">
        <v>16</v>
      </c>
    </row>
    <row r="16" spans="1:14" x14ac:dyDescent="0.55000000000000004">
      <c r="A16" t="s">
        <v>38</v>
      </c>
      <c r="B16">
        <v>324.7</v>
      </c>
      <c r="C16" t="s">
        <v>25</v>
      </c>
      <c r="D16">
        <v>325</v>
      </c>
      <c r="E16">
        <v>11</v>
      </c>
      <c r="F16">
        <v>8.15</v>
      </c>
      <c r="G16">
        <v>0.88600000000000001</v>
      </c>
      <c r="H16">
        <v>0.97899999999999998</v>
      </c>
      <c r="I16">
        <v>0.97899999999999998</v>
      </c>
      <c r="J16">
        <v>6.79</v>
      </c>
      <c r="K16">
        <v>7.52</v>
      </c>
      <c r="L16">
        <v>7.52</v>
      </c>
      <c r="M16">
        <v>49</v>
      </c>
      <c r="N16" t="s">
        <v>16</v>
      </c>
    </row>
    <row r="17" spans="1:14" x14ac:dyDescent="0.55000000000000004">
      <c r="A17" t="s">
        <v>39</v>
      </c>
      <c r="B17">
        <v>808</v>
      </c>
      <c r="C17" t="s">
        <v>25</v>
      </c>
      <c r="D17">
        <v>810</v>
      </c>
      <c r="E17">
        <v>21.75</v>
      </c>
      <c r="F17">
        <v>15.45</v>
      </c>
      <c r="G17">
        <v>0.78600000000000003</v>
      </c>
      <c r="H17">
        <v>1.0349999999999999</v>
      </c>
      <c r="I17">
        <v>1.0349999999999999</v>
      </c>
      <c r="J17">
        <v>6</v>
      </c>
      <c r="K17">
        <v>7.97</v>
      </c>
      <c r="L17">
        <v>7.97</v>
      </c>
      <c r="M17">
        <v>49</v>
      </c>
      <c r="N17" t="s">
        <v>16</v>
      </c>
    </row>
    <row r="18" spans="1:14" x14ac:dyDescent="0.55000000000000004">
      <c r="A18" t="s">
        <v>19</v>
      </c>
      <c r="B18">
        <v>410</v>
      </c>
      <c r="C18" t="s">
        <v>25</v>
      </c>
      <c r="D18">
        <v>410</v>
      </c>
      <c r="E18">
        <v>10.4</v>
      </c>
      <c r="F18">
        <v>7.3</v>
      </c>
      <c r="G18">
        <v>0.76200000000000001</v>
      </c>
      <c r="H18">
        <v>0.76200000000000001</v>
      </c>
      <c r="I18">
        <v>0.76200000000000001</v>
      </c>
      <c r="J18">
        <v>5.82</v>
      </c>
      <c r="K18">
        <v>5.82</v>
      </c>
      <c r="L18">
        <v>5.82</v>
      </c>
      <c r="M18">
        <v>49</v>
      </c>
      <c r="N18" t="s">
        <v>16</v>
      </c>
    </row>
    <row r="19" spans="1:14" x14ac:dyDescent="0.55000000000000004">
      <c r="A19" t="s">
        <v>18</v>
      </c>
      <c r="B19">
        <v>3702</v>
      </c>
      <c r="C19" t="s">
        <v>25</v>
      </c>
      <c r="D19">
        <v>3700</v>
      </c>
      <c r="E19">
        <v>145</v>
      </c>
      <c r="F19">
        <v>118.45</v>
      </c>
      <c r="G19">
        <v>0.72199999999999998</v>
      </c>
      <c r="H19">
        <v>0.66800000000000004</v>
      </c>
      <c r="I19">
        <v>0.66800000000000004</v>
      </c>
      <c r="J19">
        <v>5.51</v>
      </c>
      <c r="K19">
        <v>5.08</v>
      </c>
      <c r="L19">
        <v>5.08</v>
      </c>
      <c r="M19">
        <v>49</v>
      </c>
      <c r="N19" t="s">
        <v>16</v>
      </c>
    </row>
    <row r="20" spans="1:14" x14ac:dyDescent="0.55000000000000004">
      <c r="A20" t="s">
        <v>40</v>
      </c>
      <c r="B20">
        <v>1425</v>
      </c>
      <c r="C20" t="s">
        <v>25</v>
      </c>
      <c r="D20">
        <v>1420</v>
      </c>
      <c r="E20">
        <v>57.8</v>
      </c>
      <c r="F20">
        <v>47.75</v>
      </c>
      <c r="G20">
        <v>0.71</v>
      </c>
      <c r="H20">
        <v>0.35699999999999998</v>
      </c>
      <c r="I20">
        <v>0.35699999999999998</v>
      </c>
      <c r="J20">
        <v>5.41</v>
      </c>
      <c r="K20">
        <v>2.69</v>
      </c>
      <c r="L20">
        <v>2.69</v>
      </c>
      <c r="M20">
        <v>49</v>
      </c>
      <c r="N20" t="s">
        <v>16</v>
      </c>
    </row>
    <row r="21" spans="1:14" x14ac:dyDescent="0.55000000000000004">
      <c r="A21" t="s">
        <v>21</v>
      </c>
      <c r="B21">
        <v>1376.1</v>
      </c>
      <c r="C21" t="s">
        <v>25</v>
      </c>
      <c r="D21">
        <v>1380</v>
      </c>
      <c r="E21">
        <v>40.4</v>
      </c>
      <c r="F21">
        <v>31.85</v>
      </c>
      <c r="G21">
        <v>0.625</v>
      </c>
      <c r="H21">
        <v>0.91</v>
      </c>
      <c r="I21">
        <v>0.91</v>
      </c>
      <c r="J21">
        <v>4.75</v>
      </c>
      <c r="K21">
        <v>6.98</v>
      </c>
      <c r="L21">
        <v>6.98</v>
      </c>
      <c r="M21">
        <v>49</v>
      </c>
      <c r="N21" t="s">
        <v>16</v>
      </c>
    </row>
    <row r="22" spans="1:14" x14ac:dyDescent="0.55000000000000004">
      <c r="A22" t="s">
        <v>41</v>
      </c>
      <c r="B22">
        <v>1893</v>
      </c>
      <c r="C22" t="s">
        <v>25</v>
      </c>
      <c r="D22">
        <v>1900</v>
      </c>
      <c r="E22">
        <v>51.8</v>
      </c>
      <c r="F22">
        <v>41.45</v>
      </c>
      <c r="G22">
        <v>0.55000000000000004</v>
      </c>
      <c r="H22">
        <v>0.92200000000000004</v>
      </c>
      <c r="I22">
        <v>0.92200000000000004</v>
      </c>
      <c r="J22">
        <v>4.17</v>
      </c>
      <c r="K22">
        <v>7.07</v>
      </c>
      <c r="L22">
        <v>7.07</v>
      </c>
      <c r="M22">
        <v>49</v>
      </c>
      <c r="N22" t="s">
        <v>16</v>
      </c>
    </row>
    <row r="23" spans="1:14" x14ac:dyDescent="0.55000000000000004">
      <c r="A23" t="s">
        <v>42</v>
      </c>
      <c r="B23">
        <v>2795</v>
      </c>
      <c r="C23" t="s">
        <v>25</v>
      </c>
      <c r="D23">
        <v>2800</v>
      </c>
      <c r="E23">
        <v>86.25</v>
      </c>
      <c r="F23">
        <v>71</v>
      </c>
      <c r="G23">
        <v>0.54900000000000004</v>
      </c>
      <c r="H23">
        <v>0.72799999999999998</v>
      </c>
      <c r="I23">
        <v>0.72799999999999998</v>
      </c>
      <c r="J23">
        <v>4.16</v>
      </c>
      <c r="K23">
        <v>5.56</v>
      </c>
      <c r="L23">
        <v>5.56</v>
      </c>
      <c r="M23">
        <v>49</v>
      </c>
      <c r="N23" t="s">
        <v>16</v>
      </c>
    </row>
    <row r="24" spans="1:14" x14ac:dyDescent="0.55000000000000004">
      <c r="A24" t="s">
        <v>43</v>
      </c>
      <c r="B24">
        <v>1960.4</v>
      </c>
      <c r="C24" t="s">
        <v>25</v>
      </c>
      <c r="D24">
        <v>1960</v>
      </c>
      <c r="E24">
        <v>60.45</v>
      </c>
      <c r="F24">
        <v>49.9</v>
      </c>
      <c r="G24">
        <v>0.54100000000000004</v>
      </c>
      <c r="H24">
        <v>0.52100000000000002</v>
      </c>
      <c r="I24">
        <v>0.52100000000000002</v>
      </c>
      <c r="J24">
        <v>4.0999999999999996</v>
      </c>
      <c r="K24">
        <v>3.94</v>
      </c>
      <c r="L24">
        <v>3.94</v>
      </c>
      <c r="M24">
        <v>49</v>
      </c>
      <c r="N24" t="s">
        <v>16</v>
      </c>
    </row>
    <row r="25" spans="1:14" x14ac:dyDescent="0.55000000000000004">
      <c r="A25" t="s">
        <v>44</v>
      </c>
      <c r="B25">
        <v>762.35</v>
      </c>
      <c r="C25" t="s">
        <v>25</v>
      </c>
      <c r="D25">
        <v>760</v>
      </c>
      <c r="E25">
        <v>25.95</v>
      </c>
      <c r="F25">
        <v>22</v>
      </c>
      <c r="G25">
        <v>0.52100000000000002</v>
      </c>
      <c r="H25">
        <v>0.21099999999999999</v>
      </c>
      <c r="I25">
        <v>0.21099999999999999</v>
      </c>
      <c r="J25">
        <v>3.95</v>
      </c>
      <c r="K25">
        <v>1.58</v>
      </c>
      <c r="L25">
        <v>1.58</v>
      </c>
      <c r="M25">
        <v>49</v>
      </c>
      <c r="N25" t="s">
        <v>16</v>
      </c>
    </row>
    <row r="26" spans="1:14" x14ac:dyDescent="0.55000000000000004">
      <c r="A26" t="s">
        <v>14</v>
      </c>
      <c r="B26">
        <v>169.45</v>
      </c>
      <c r="C26" t="s">
        <v>25</v>
      </c>
      <c r="D26">
        <v>170</v>
      </c>
      <c r="E26">
        <v>6.15</v>
      </c>
      <c r="F26">
        <v>5.3</v>
      </c>
      <c r="G26">
        <v>0.504</v>
      </c>
      <c r="H26">
        <v>0.83</v>
      </c>
      <c r="I26">
        <v>0.83</v>
      </c>
      <c r="J26">
        <v>3.82</v>
      </c>
      <c r="K26">
        <v>6.35</v>
      </c>
      <c r="L26">
        <v>6.35</v>
      </c>
      <c r="M26">
        <v>49</v>
      </c>
      <c r="N26" t="s">
        <v>16</v>
      </c>
    </row>
    <row r="27" spans="1:14" x14ac:dyDescent="0.55000000000000004">
      <c r="A27" t="s">
        <v>45</v>
      </c>
      <c r="B27">
        <v>1496.5</v>
      </c>
      <c r="C27" t="s">
        <v>25</v>
      </c>
      <c r="D27">
        <v>1500</v>
      </c>
      <c r="E27">
        <v>55.35</v>
      </c>
      <c r="F27">
        <v>48</v>
      </c>
      <c r="G27">
        <v>0.49399999999999999</v>
      </c>
      <c r="H27">
        <v>0.72899999999999998</v>
      </c>
      <c r="I27">
        <v>0.72899999999999998</v>
      </c>
      <c r="J27">
        <v>3.74</v>
      </c>
      <c r="K27">
        <v>5.56</v>
      </c>
      <c r="L27">
        <v>5.56</v>
      </c>
      <c r="M27">
        <v>49</v>
      </c>
      <c r="N27" t="s">
        <v>16</v>
      </c>
    </row>
    <row r="28" spans="1:14" x14ac:dyDescent="0.55000000000000004">
      <c r="A28" t="s">
        <v>46</v>
      </c>
      <c r="B28">
        <v>947.5</v>
      </c>
      <c r="C28" t="s">
        <v>25</v>
      </c>
      <c r="D28">
        <v>950</v>
      </c>
      <c r="E28">
        <v>32.950000000000003</v>
      </c>
      <c r="F28">
        <v>28.6</v>
      </c>
      <c r="G28">
        <v>0.46100000000000002</v>
      </c>
      <c r="H28">
        <v>0.72599999999999998</v>
      </c>
      <c r="I28">
        <v>0.72599999999999998</v>
      </c>
      <c r="J28">
        <v>3.49</v>
      </c>
      <c r="K28">
        <v>5.54</v>
      </c>
      <c r="L28">
        <v>5.54</v>
      </c>
      <c r="M28">
        <v>49</v>
      </c>
      <c r="N28" t="s">
        <v>16</v>
      </c>
    </row>
    <row r="29" spans="1:14" x14ac:dyDescent="0.55000000000000004">
      <c r="A29" t="s">
        <v>47</v>
      </c>
      <c r="B29">
        <v>6893.5</v>
      </c>
      <c r="C29" t="s">
        <v>25</v>
      </c>
      <c r="D29">
        <v>6900</v>
      </c>
      <c r="E29">
        <v>218.15</v>
      </c>
      <c r="F29">
        <v>195.6</v>
      </c>
      <c r="G29">
        <v>0.32800000000000001</v>
      </c>
      <c r="H29">
        <v>0.42299999999999999</v>
      </c>
      <c r="I29">
        <v>0.42299999999999999</v>
      </c>
      <c r="J29">
        <v>2.4700000000000002</v>
      </c>
      <c r="K29">
        <v>3.19</v>
      </c>
      <c r="L29">
        <v>3.19</v>
      </c>
      <c r="M29">
        <v>49</v>
      </c>
      <c r="N29" t="s">
        <v>16</v>
      </c>
    </row>
    <row r="30" spans="1:14" x14ac:dyDescent="0.55000000000000004">
      <c r="A30" t="s">
        <v>48</v>
      </c>
      <c r="B30">
        <v>966.45</v>
      </c>
      <c r="C30" t="s">
        <v>25</v>
      </c>
      <c r="D30">
        <v>970</v>
      </c>
      <c r="E30">
        <v>24.2</v>
      </c>
      <c r="F30">
        <v>21.05</v>
      </c>
      <c r="G30">
        <v>0.32700000000000001</v>
      </c>
      <c r="H30">
        <v>0.69599999999999995</v>
      </c>
      <c r="I30">
        <v>0.69599999999999995</v>
      </c>
      <c r="J30">
        <v>2.46</v>
      </c>
      <c r="K30">
        <v>5.3</v>
      </c>
      <c r="L30">
        <v>5.3</v>
      </c>
      <c r="M30">
        <v>49</v>
      </c>
      <c r="N30" t="s">
        <v>16</v>
      </c>
    </row>
    <row r="31" spans="1:14" x14ac:dyDescent="0.55000000000000004">
      <c r="A31" t="s">
        <v>49</v>
      </c>
      <c r="B31">
        <v>3052</v>
      </c>
      <c r="C31" t="s">
        <v>25</v>
      </c>
      <c r="D31">
        <v>3060</v>
      </c>
      <c r="E31">
        <v>93.3</v>
      </c>
      <c r="F31">
        <v>84.1</v>
      </c>
      <c r="G31">
        <v>0.30199999999999999</v>
      </c>
      <c r="H31">
        <v>0.56499999999999995</v>
      </c>
      <c r="I31">
        <v>0.56499999999999995</v>
      </c>
      <c r="J31">
        <v>2.27</v>
      </c>
      <c r="K31">
        <v>4.29</v>
      </c>
      <c r="L31">
        <v>4.29</v>
      </c>
      <c r="M31">
        <v>49</v>
      </c>
      <c r="N31" t="s">
        <v>16</v>
      </c>
    </row>
    <row r="32" spans="1:14" x14ac:dyDescent="0.55000000000000004">
      <c r="A32" t="s">
        <v>17</v>
      </c>
      <c r="B32">
        <v>388.75</v>
      </c>
      <c r="C32" t="s">
        <v>25</v>
      </c>
      <c r="D32">
        <v>390</v>
      </c>
      <c r="E32">
        <v>10.9</v>
      </c>
      <c r="F32">
        <v>9.75</v>
      </c>
      <c r="G32">
        <v>0.29699999999999999</v>
      </c>
      <c r="H32">
        <v>0.61899999999999999</v>
      </c>
      <c r="I32">
        <v>0.61899999999999999</v>
      </c>
      <c r="J32">
        <v>2.23</v>
      </c>
      <c r="K32">
        <v>4.71</v>
      </c>
      <c r="L32">
        <v>4.71</v>
      </c>
      <c r="M32">
        <v>49</v>
      </c>
      <c r="N32" t="s">
        <v>16</v>
      </c>
    </row>
    <row r="33" spans="1:14" x14ac:dyDescent="0.55000000000000004">
      <c r="A33" t="s">
        <v>50</v>
      </c>
      <c r="B33">
        <v>1551.5</v>
      </c>
      <c r="C33" t="s">
        <v>25</v>
      </c>
      <c r="D33">
        <v>1560</v>
      </c>
      <c r="E33">
        <v>47.2</v>
      </c>
      <c r="F33">
        <v>42.65</v>
      </c>
      <c r="G33">
        <v>0.29399999999999998</v>
      </c>
      <c r="H33">
        <v>0.84399999999999997</v>
      </c>
      <c r="I33">
        <v>0.84399999999999997</v>
      </c>
      <c r="J33">
        <v>2.21</v>
      </c>
      <c r="K33">
        <v>6.46</v>
      </c>
      <c r="L33">
        <v>6.46</v>
      </c>
      <c r="M33">
        <v>49</v>
      </c>
      <c r="N33" t="s">
        <v>16</v>
      </c>
    </row>
    <row r="34" spans="1:14" x14ac:dyDescent="0.55000000000000004">
      <c r="A34" t="s">
        <v>51</v>
      </c>
      <c r="B34">
        <v>1502.4</v>
      </c>
      <c r="C34" t="s">
        <v>25</v>
      </c>
      <c r="D34">
        <v>1500</v>
      </c>
      <c r="E34">
        <v>53.75</v>
      </c>
      <c r="F34">
        <v>50.85</v>
      </c>
      <c r="G34">
        <v>0.193</v>
      </c>
      <c r="H34">
        <v>3.3000000000000002E-2</v>
      </c>
      <c r="I34">
        <v>3.3000000000000002E-2</v>
      </c>
      <c r="J34">
        <v>1.45</v>
      </c>
      <c r="K34">
        <v>0.25</v>
      </c>
      <c r="L34">
        <v>0.25</v>
      </c>
      <c r="M34">
        <v>49</v>
      </c>
      <c r="N34" t="s">
        <v>16</v>
      </c>
    </row>
    <row r="35" spans="1:14" x14ac:dyDescent="0.55000000000000004">
      <c r="A35" t="s">
        <v>52</v>
      </c>
      <c r="B35">
        <v>1382.5</v>
      </c>
      <c r="C35" t="s">
        <v>25</v>
      </c>
      <c r="D35">
        <v>1380</v>
      </c>
      <c r="E35">
        <v>0</v>
      </c>
      <c r="F35">
        <v>0</v>
      </c>
      <c r="G35">
        <v>0</v>
      </c>
      <c r="H35">
        <v>-0.18099999999999999</v>
      </c>
      <c r="I35">
        <v>-0.18099999999999999</v>
      </c>
      <c r="J35">
        <v>0</v>
      </c>
      <c r="K35">
        <v>-1.34</v>
      </c>
      <c r="L35">
        <v>-1.34</v>
      </c>
      <c r="M35">
        <v>49</v>
      </c>
      <c r="N35" t="s">
        <v>16</v>
      </c>
    </row>
    <row r="36" spans="1:14" x14ac:dyDescent="0.55000000000000004">
      <c r="A36" t="s">
        <v>53</v>
      </c>
      <c r="B36">
        <v>1082.3</v>
      </c>
      <c r="C36" t="s">
        <v>25</v>
      </c>
      <c r="D36">
        <v>1080</v>
      </c>
      <c r="E36">
        <v>0</v>
      </c>
      <c r="F36">
        <v>0</v>
      </c>
      <c r="G36">
        <v>0</v>
      </c>
      <c r="H36">
        <v>-0.21299999999999999</v>
      </c>
      <c r="I36">
        <v>-0.21299999999999999</v>
      </c>
      <c r="J36">
        <v>0</v>
      </c>
      <c r="K36">
        <v>-1.57</v>
      </c>
      <c r="L36">
        <v>-1.57</v>
      </c>
      <c r="M36">
        <v>49</v>
      </c>
      <c r="N36" t="s">
        <v>16</v>
      </c>
    </row>
    <row r="37" spans="1:14" x14ac:dyDescent="0.55000000000000004">
      <c r="A37" t="s">
        <v>54</v>
      </c>
      <c r="B37">
        <v>594.79999999999995</v>
      </c>
      <c r="C37" t="s">
        <v>25</v>
      </c>
      <c r="D37">
        <v>590</v>
      </c>
      <c r="E37">
        <v>0</v>
      </c>
      <c r="F37">
        <v>0</v>
      </c>
      <c r="G37">
        <v>0</v>
      </c>
      <c r="H37">
        <v>-0.80700000000000005</v>
      </c>
      <c r="I37">
        <v>-0.80700000000000005</v>
      </c>
      <c r="J37">
        <v>0</v>
      </c>
      <c r="K37">
        <v>-5.86</v>
      </c>
      <c r="L37">
        <v>-5.86</v>
      </c>
      <c r="M37">
        <v>49</v>
      </c>
      <c r="N37" t="s">
        <v>16</v>
      </c>
    </row>
    <row r="38" spans="1:14" x14ac:dyDescent="0.55000000000000004">
      <c r="A38" t="s">
        <v>55</v>
      </c>
      <c r="B38">
        <v>3635</v>
      </c>
      <c r="C38" t="s">
        <v>25</v>
      </c>
      <c r="D38">
        <v>3650</v>
      </c>
      <c r="E38">
        <v>0</v>
      </c>
      <c r="F38">
        <v>0</v>
      </c>
      <c r="G38">
        <v>0</v>
      </c>
      <c r="H38">
        <v>0.41299999999999998</v>
      </c>
      <c r="I38">
        <v>0.41299999999999998</v>
      </c>
      <c r="J38">
        <v>0</v>
      </c>
      <c r="K38">
        <v>3.12</v>
      </c>
      <c r="L38">
        <v>3.12</v>
      </c>
      <c r="M38">
        <v>49</v>
      </c>
      <c r="N38" t="s">
        <v>16</v>
      </c>
    </row>
    <row r="39" spans="1:14" x14ac:dyDescent="0.55000000000000004">
      <c r="A39" t="s">
        <v>56</v>
      </c>
      <c r="B39">
        <v>6151</v>
      </c>
      <c r="C39" t="s">
        <v>25</v>
      </c>
      <c r="D39">
        <v>6150</v>
      </c>
      <c r="E39">
        <v>0</v>
      </c>
      <c r="F39">
        <v>0</v>
      </c>
      <c r="G39">
        <v>0</v>
      </c>
      <c r="H39">
        <v>-1.6E-2</v>
      </c>
      <c r="I39">
        <v>-1.6E-2</v>
      </c>
      <c r="J39">
        <v>0</v>
      </c>
      <c r="K39">
        <v>-0.12</v>
      </c>
      <c r="L39">
        <v>-0.12</v>
      </c>
      <c r="M39">
        <v>49</v>
      </c>
      <c r="N39" t="s">
        <v>16</v>
      </c>
    </row>
    <row r="40" spans="1:14" x14ac:dyDescent="0.55000000000000004">
      <c r="A40" t="s">
        <v>57</v>
      </c>
      <c r="B40">
        <v>7826</v>
      </c>
      <c r="C40" t="s">
        <v>25</v>
      </c>
      <c r="D40">
        <v>7850</v>
      </c>
      <c r="E40">
        <v>0</v>
      </c>
      <c r="F40">
        <v>0</v>
      </c>
      <c r="G40">
        <v>0</v>
      </c>
      <c r="H40">
        <v>0.307</v>
      </c>
      <c r="I40">
        <v>0.307</v>
      </c>
      <c r="J40">
        <v>0</v>
      </c>
      <c r="K40">
        <v>2.31</v>
      </c>
      <c r="L40">
        <v>2.31</v>
      </c>
      <c r="M40">
        <v>49</v>
      </c>
      <c r="N40" t="s">
        <v>16</v>
      </c>
    </row>
    <row r="41" spans="1:14" x14ac:dyDescent="0.55000000000000004">
      <c r="A41" t="s">
        <v>58</v>
      </c>
      <c r="B41">
        <v>314.95</v>
      </c>
      <c r="C41" t="s">
        <v>25</v>
      </c>
      <c r="D41">
        <v>315</v>
      </c>
      <c r="E41">
        <v>0</v>
      </c>
      <c r="F41">
        <v>0</v>
      </c>
      <c r="G41">
        <v>0</v>
      </c>
      <c r="H41">
        <v>1.6E-2</v>
      </c>
      <c r="I41">
        <v>1.6E-2</v>
      </c>
      <c r="J41">
        <v>0</v>
      </c>
      <c r="K41">
        <v>0.12</v>
      </c>
      <c r="L41">
        <v>0.12</v>
      </c>
      <c r="M41">
        <v>49</v>
      </c>
      <c r="N41" t="s">
        <v>16</v>
      </c>
    </row>
    <row r="42" spans="1:14" x14ac:dyDescent="0.55000000000000004">
      <c r="A42" t="s">
        <v>59</v>
      </c>
      <c r="B42">
        <v>1109</v>
      </c>
      <c r="C42" t="s">
        <v>25</v>
      </c>
      <c r="D42">
        <v>1110</v>
      </c>
      <c r="E42">
        <v>0</v>
      </c>
      <c r="F42">
        <v>0</v>
      </c>
      <c r="G42">
        <v>0</v>
      </c>
      <c r="H42">
        <v>0.09</v>
      </c>
      <c r="I42">
        <v>0.09</v>
      </c>
      <c r="J42">
        <v>0</v>
      </c>
      <c r="K42">
        <v>0.67</v>
      </c>
      <c r="L42">
        <v>0.67</v>
      </c>
      <c r="M42">
        <v>49</v>
      </c>
      <c r="N42" t="s">
        <v>16</v>
      </c>
    </row>
    <row r="43" spans="1:14" x14ac:dyDescent="0.55000000000000004">
      <c r="A43" t="s">
        <v>60</v>
      </c>
      <c r="B43">
        <v>15339</v>
      </c>
      <c r="C43" t="s">
        <v>25</v>
      </c>
      <c r="D43">
        <v>15300</v>
      </c>
      <c r="E43">
        <v>0</v>
      </c>
      <c r="F43">
        <v>0</v>
      </c>
      <c r="G43">
        <v>0</v>
      </c>
      <c r="H43">
        <v>-0.254</v>
      </c>
      <c r="I43">
        <v>-0.254</v>
      </c>
      <c r="J43">
        <v>0</v>
      </c>
      <c r="K43">
        <v>-1.88</v>
      </c>
      <c r="L43">
        <v>-1.88</v>
      </c>
      <c r="M43">
        <v>49</v>
      </c>
      <c r="N43" t="s">
        <v>16</v>
      </c>
    </row>
    <row r="44" spans="1:14" x14ac:dyDescent="0.55000000000000004">
      <c r="A44" t="s">
        <v>22</v>
      </c>
      <c r="B44">
        <v>715.2</v>
      </c>
      <c r="C44" t="s">
        <v>25</v>
      </c>
      <c r="D44">
        <v>720</v>
      </c>
      <c r="E44">
        <v>21.9</v>
      </c>
      <c r="F44">
        <v>22</v>
      </c>
      <c r="G44">
        <v>-1.4E-2</v>
      </c>
      <c r="H44">
        <v>0.65700000000000003</v>
      </c>
      <c r="I44">
        <v>0.65700000000000003</v>
      </c>
      <c r="J44">
        <v>-0.1</v>
      </c>
      <c r="K44">
        <v>5</v>
      </c>
      <c r="L44">
        <v>5</v>
      </c>
      <c r="M44">
        <v>49</v>
      </c>
      <c r="N44" t="s">
        <v>16</v>
      </c>
    </row>
    <row r="45" spans="1:14" x14ac:dyDescent="0.55000000000000004">
      <c r="A45" t="s">
        <v>61</v>
      </c>
      <c r="B45">
        <v>9390</v>
      </c>
      <c r="C45" t="s">
        <v>25</v>
      </c>
      <c r="D45">
        <v>9400</v>
      </c>
      <c r="E45">
        <v>312</v>
      </c>
      <c r="F45">
        <v>329.4</v>
      </c>
      <c r="G45">
        <v>-0.185</v>
      </c>
      <c r="H45">
        <v>-7.9000000000000001E-2</v>
      </c>
      <c r="I45">
        <v>-7.9000000000000001E-2</v>
      </c>
      <c r="J45">
        <v>-1.37</v>
      </c>
      <c r="K45">
        <v>-0.57999999999999996</v>
      </c>
      <c r="L45">
        <v>-0.57999999999999996</v>
      </c>
      <c r="M45">
        <v>49</v>
      </c>
      <c r="N45" t="s">
        <v>16</v>
      </c>
    </row>
    <row r="46" spans="1:14" x14ac:dyDescent="0.55000000000000004">
      <c r="A46" t="s">
        <v>23</v>
      </c>
      <c r="B46">
        <v>249.34</v>
      </c>
      <c r="C46" t="s">
        <v>25</v>
      </c>
      <c r="D46">
        <v>250</v>
      </c>
      <c r="E46">
        <v>8.25</v>
      </c>
      <c r="F46">
        <v>9.3000000000000007</v>
      </c>
      <c r="G46">
        <v>-0.41899999999999998</v>
      </c>
      <c r="H46">
        <v>-0.156</v>
      </c>
      <c r="I46">
        <v>-0.156</v>
      </c>
      <c r="J46">
        <v>-3.08</v>
      </c>
      <c r="K46">
        <v>-1.1499999999999999</v>
      </c>
      <c r="L46">
        <v>-1.1499999999999999</v>
      </c>
      <c r="M46">
        <v>49</v>
      </c>
      <c r="N46" t="s">
        <v>16</v>
      </c>
    </row>
    <row r="47" spans="1:14" x14ac:dyDescent="0.55000000000000004">
      <c r="A47" t="s">
        <v>62</v>
      </c>
      <c r="B47">
        <v>1294.4000000000001</v>
      </c>
      <c r="C47" t="s">
        <v>25</v>
      </c>
      <c r="D47">
        <v>1300</v>
      </c>
      <c r="E47">
        <v>35.799999999999997</v>
      </c>
      <c r="F47">
        <v>45.25</v>
      </c>
      <c r="G47">
        <v>-0.72499999999999998</v>
      </c>
      <c r="H47">
        <v>-0.29499999999999998</v>
      </c>
      <c r="I47">
        <v>-0.29499999999999998</v>
      </c>
      <c r="J47">
        <v>-5.27</v>
      </c>
      <c r="K47">
        <v>-2.1800000000000002</v>
      </c>
      <c r="L47">
        <v>-2.1800000000000002</v>
      </c>
      <c r="M47">
        <v>49</v>
      </c>
      <c r="N47" t="s">
        <v>16</v>
      </c>
    </row>
    <row r="48" spans="1:14" x14ac:dyDescent="0.55000000000000004">
      <c r="A48" t="s">
        <v>63</v>
      </c>
      <c r="B48">
        <v>5445</v>
      </c>
      <c r="C48" t="s">
        <v>25</v>
      </c>
      <c r="D48">
        <v>5450</v>
      </c>
      <c r="E48">
        <v>179.65</v>
      </c>
      <c r="F48">
        <v>223.5</v>
      </c>
      <c r="G48">
        <v>-0.79900000000000004</v>
      </c>
      <c r="H48">
        <v>-0.70799999999999996</v>
      </c>
      <c r="I48">
        <v>-0.70799999999999996</v>
      </c>
      <c r="J48">
        <v>-5.8</v>
      </c>
      <c r="K48">
        <v>-5.15</v>
      </c>
      <c r="L48">
        <v>-5.15</v>
      </c>
      <c r="M48">
        <v>49</v>
      </c>
      <c r="N48" t="s">
        <v>16</v>
      </c>
    </row>
    <row r="49" spans="1:14" x14ac:dyDescent="0.55000000000000004">
      <c r="A49" t="s">
        <v>64</v>
      </c>
      <c r="B49">
        <v>2541.3000000000002</v>
      </c>
      <c r="C49" t="s">
        <v>25</v>
      </c>
      <c r="D49">
        <v>2540</v>
      </c>
      <c r="E49">
        <v>0</v>
      </c>
      <c r="F49">
        <v>60.55</v>
      </c>
      <c r="G49">
        <v>-2.327</v>
      </c>
      <c r="H49">
        <v>-2.3769999999999998</v>
      </c>
      <c r="I49">
        <v>-2.3769999999999998</v>
      </c>
      <c r="J49">
        <v>-16.09</v>
      </c>
      <c r="K49">
        <v>-16.41</v>
      </c>
      <c r="L49">
        <v>-16.41</v>
      </c>
      <c r="M49">
        <v>49</v>
      </c>
      <c r="N49" t="s">
        <v>16</v>
      </c>
    </row>
    <row r="50" spans="1:14" x14ac:dyDescent="0.55000000000000004">
      <c r="A50" t="s">
        <v>65</v>
      </c>
      <c r="B50">
        <v>1810</v>
      </c>
      <c r="C50" t="s">
        <v>25</v>
      </c>
      <c r="D50">
        <v>1800</v>
      </c>
      <c r="E50">
        <v>0</v>
      </c>
      <c r="F50">
        <v>50</v>
      </c>
      <c r="G50">
        <v>-2.6880000000000002</v>
      </c>
      <c r="H50">
        <v>-3.226</v>
      </c>
      <c r="I50">
        <v>-3.226</v>
      </c>
      <c r="J50">
        <v>-18.37</v>
      </c>
      <c r="K50">
        <v>-21.67</v>
      </c>
      <c r="L50">
        <v>-21.67</v>
      </c>
      <c r="M50">
        <v>49</v>
      </c>
      <c r="N50" t="s">
        <v>16</v>
      </c>
    </row>
    <row r="51" spans="1:14" x14ac:dyDescent="0.55000000000000004">
      <c r="A51" t="s">
        <v>66</v>
      </c>
      <c r="B51">
        <v>5173</v>
      </c>
      <c r="C51" t="s">
        <v>25</v>
      </c>
      <c r="D51">
        <v>5200</v>
      </c>
      <c r="E51">
        <v>0</v>
      </c>
      <c r="F51">
        <v>250</v>
      </c>
      <c r="G51">
        <v>-4.6100000000000003</v>
      </c>
      <c r="H51">
        <v>-4.1120000000000001</v>
      </c>
      <c r="I51">
        <v>-4.1120000000000001</v>
      </c>
      <c r="J51">
        <v>-29.64</v>
      </c>
      <c r="K51">
        <v>-26.86</v>
      </c>
      <c r="L51">
        <v>-26.86</v>
      </c>
      <c r="M51">
        <v>49</v>
      </c>
      <c r="N5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tabSelected="1" workbookViewId="0">
      <selection activeCell="O2" sqref="O2"/>
    </sheetView>
  </sheetViews>
  <sheetFormatPr defaultRowHeight="14.4" x14ac:dyDescent="0.55000000000000004"/>
  <cols>
    <col min="1" max="1" width="12.89453125" bestFit="1" customWidth="1"/>
    <col min="2" max="2" width="9.41796875" bestFit="1" customWidth="1"/>
    <col min="3" max="3" width="10.68359375" bestFit="1" customWidth="1"/>
    <col min="4" max="4" width="9.41796875" bestFit="1" customWidth="1"/>
    <col min="5" max="5" width="11.734375" bestFit="1" customWidth="1"/>
    <col min="6" max="6" width="11.83984375" bestFit="1" customWidth="1"/>
    <col min="7" max="7" width="10.9453125" bestFit="1" customWidth="1"/>
    <col min="8" max="8" width="15.05078125" bestFit="1" customWidth="1"/>
    <col min="9" max="9" width="13.1015625" bestFit="1" customWidth="1"/>
    <col min="11" max="11" width="12.9453125" bestFit="1" customWidth="1"/>
    <col min="12" max="12" width="10.9453125" bestFit="1" customWidth="1"/>
    <col min="13" max="13" width="13.15625" bestFit="1" customWidth="1"/>
    <col min="14" max="14" width="18.26171875" bestFit="1" customWidth="1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55000000000000004">
      <c r="A2" t="s">
        <v>33</v>
      </c>
      <c r="B2">
        <v>1200.5999999999999</v>
      </c>
      <c r="C2" t="s">
        <v>67</v>
      </c>
      <c r="D2">
        <v>1200</v>
      </c>
      <c r="E2">
        <v>23.5</v>
      </c>
      <c r="F2">
        <v>16</v>
      </c>
      <c r="G2">
        <v>0.629</v>
      </c>
      <c r="H2">
        <v>0.57799999999999996</v>
      </c>
      <c r="I2">
        <v>0.57799999999999996</v>
      </c>
      <c r="J2">
        <v>11.51</v>
      </c>
      <c r="K2">
        <v>10.54</v>
      </c>
      <c r="L2">
        <v>10.54</v>
      </c>
      <c r="M2">
        <v>21</v>
      </c>
      <c r="N2" t="s">
        <v>16</v>
      </c>
      <c r="O2">
        <f>D2-B2+E2-F2</f>
        <v>6.9000000000000909</v>
      </c>
      <c r="P2">
        <f>O2/(D2+F2)%</f>
        <v>0.56743421052632326</v>
      </c>
    </row>
    <row r="3" spans="1:16" x14ac:dyDescent="0.55000000000000004">
      <c r="A3" t="s">
        <v>34</v>
      </c>
      <c r="B3">
        <v>6005</v>
      </c>
      <c r="C3" t="s">
        <v>67</v>
      </c>
      <c r="D3">
        <v>6000</v>
      </c>
      <c r="E3">
        <v>150.05000000000001</v>
      </c>
      <c r="F3">
        <v>110.65</v>
      </c>
      <c r="G3">
        <v>0.66</v>
      </c>
      <c r="H3">
        <v>0.57699999999999996</v>
      </c>
      <c r="I3">
        <v>0.57699999999999996</v>
      </c>
      <c r="J3">
        <v>12.12</v>
      </c>
      <c r="K3">
        <v>10.51</v>
      </c>
      <c r="L3">
        <v>10.51</v>
      </c>
      <c r="M3">
        <v>21</v>
      </c>
      <c r="N3" t="s">
        <v>16</v>
      </c>
    </row>
    <row r="4" spans="1:16" x14ac:dyDescent="0.55000000000000004">
      <c r="A4" t="s">
        <v>32</v>
      </c>
      <c r="B4">
        <v>1053.4000000000001</v>
      </c>
      <c r="C4" t="s">
        <v>67</v>
      </c>
      <c r="D4">
        <v>1050</v>
      </c>
      <c r="E4">
        <v>21.5</v>
      </c>
      <c r="F4">
        <v>12.3</v>
      </c>
      <c r="G4">
        <v>0.88100000000000001</v>
      </c>
      <c r="H4">
        <v>0.55500000000000005</v>
      </c>
      <c r="I4">
        <v>0.55500000000000005</v>
      </c>
      <c r="J4">
        <v>16.47</v>
      </c>
      <c r="K4">
        <v>10.11</v>
      </c>
      <c r="L4">
        <v>10.11</v>
      </c>
      <c r="M4">
        <v>21</v>
      </c>
      <c r="N4" t="s">
        <v>16</v>
      </c>
    </row>
    <row r="5" spans="1:16" x14ac:dyDescent="0.55000000000000004">
      <c r="A5" t="s">
        <v>53</v>
      </c>
      <c r="B5">
        <v>1082.3</v>
      </c>
      <c r="C5" t="s">
        <v>67</v>
      </c>
      <c r="D5">
        <v>1080</v>
      </c>
      <c r="E5">
        <v>24.9</v>
      </c>
      <c r="F5">
        <v>16.899999999999999</v>
      </c>
      <c r="G5">
        <v>0.745</v>
      </c>
      <c r="H5">
        <v>0.53100000000000003</v>
      </c>
      <c r="I5">
        <v>0.53100000000000003</v>
      </c>
      <c r="J5">
        <v>13.76</v>
      </c>
      <c r="K5">
        <v>9.6300000000000008</v>
      </c>
      <c r="L5">
        <v>9.6300000000000008</v>
      </c>
      <c r="M5">
        <v>21</v>
      </c>
      <c r="N5" t="s">
        <v>16</v>
      </c>
    </row>
    <row r="6" spans="1:16" x14ac:dyDescent="0.55000000000000004">
      <c r="A6" t="s">
        <v>38</v>
      </c>
      <c r="B6">
        <v>324.7</v>
      </c>
      <c r="C6" t="s">
        <v>67</v>
      </c>
      <c r="D6">
        <v>325</v>
      </c>
      <c r="E6">
        <v>6.1</v>
      </c>
      <c r="F6">
        <v>4.7</v>
      </c>
      <c r="G6">
        <v>0.433</v>
      </c>
      <c r="H6">
        <v>0.52600000000000002</v>
      </c>
      <c r="I6">
        <v>0.52600000000000002</v>
      </c>
      <c r="J6">
        <v>7.8</v>
      </c>
      <c r="K6">
        <v>9.5399999999999991</v>
      </c>
      <c r="L6">
        <v>9.5399999999999991</v>
      </c>
      <c r="M6">
        <v>21</v>
      </c>
      <c r="N6" t="s">
        <v>16</v>
      </c>
    </row>
    <row r="7" spans="1:16" x14ac:dyDescent="0.55000000000000004">
      <c r="A7" t="s">
        <v>40</v>
      </c>
      <c r="B7">
        <v>1425</v>
      </c>
      <c r="C7" t="s">
        <v>67</v>
      </c>
      <c r="D7">
        <v>1420</v>
      </c>
      <c r="E7">
        <v>35.9</v>
      </c>
      <c r="F7">
        <v>23.5</v>
      </c>
      <c r="G7">
        <v>0.878</v>
      </c>
      <c r="H7">
        <v>0.52400000000000002</v>
      </c>
      <c r="I7">
        <v>0.52400000000000002</v>
      </c>
      <c r="J7">
        <v>16.41</v>
      </c>
      <c r="K7">
        <v>9.51</v>
      </c>
      <c r="L7">
        <v>9.51</v>
      </c>
      <c r="M7">
        <v>21</v>
      </c>
      <c r="N7" t="s">
        <v>16</v>
      </c>
    </row>
    <row r="8" spans="1:16" x14ac:dyDescent="0.55000000000000004">
      <c r="A8" t="s">
        <v>56</v>
      </c>
      <c r="B8">
        <v>6151</v>
      </c>
      <c r="C8" t="s">
        <v>67</v>
      </c>
      <c r="D8">
        <v>6150</v>
      </c>
      <c r="E8">
        <v>134.05000000000001</v>
      </c>
      <c r="F8">
        <v>101</v>
      </c>
      <c r="G8">
        <v>0.54</v>
      </c>
      <c r="H8">
        <v>0.52400000000000002</v>
      </c>
      <c r="I8">
        <v>0.52400000000000002</v>
      </c>
      <c r="J8">
        <v>9.82</v>
      </c>
      <c r="K8">
        <v>9.51</v>
      </c>
      <c r="L8">
        <v>9.51</v>
      </c>
      <c r="M8">
        <v>21</v>
      </c>
      <c r="N8" t="s">
        <v>16</v>
      </c>
    </row>
    <row r="9" spans="1:16" x14ac:dyDescent="0.55000000000000004">
      <c r="A9" t="s">
        <v>57</v>
      </c>
      <c r="B9">
        <v>7826</v>
      </c>
      <c r="C9" t="s">
        <v>67</v>
      </c>
      <c r="D9">
        <v>7850</v>
      </c>
      <c r="E9">
        <v>137.6</v>
      </c>
      <c r="F9">
        <v>121.8</v>
      </c>
      <c r="G9">
        <v>0.20200000000000001</v>
      </c>
      <c r="H9">
        <v>0.51</v>
      </c>
      <c r="I9">
        <v>0.51</v>
      </c>
      <c r="J9">
        <v>3.58</v>
      </c>
      <c r="K9">
        <v>9.24</v>
      </c>
      <c r="L9">
        <v>9.24</v>
      </c>
      <c r="M9">
        <v>21</v>
      </c>
      <c r="N9" t="s">
        <v>16</v>
      </c>
    </row>
    <row r="10" spans="1:16" x14ac:dyDescent="0.55000000000000004">
      <c r="A10" t="s">
        <v>42</v>
      </c>
      <c r="B10">
        <v>2795</v>
      </c>
      <c r="C10" t="s">
        <v>67</v>
      </c>
      <c r="D10">
        <v>2800</v>
      </c>
      <c r="E10">
        <v>57.75</v>
      </c>
      <c r="F10">
        <v>48.75</v>
      </c>
      <c r="G10">
        <v>0.32300000000000001</v>
      </c>
      <c r="H10">
        <v>0.503</v>
      </c>
      <c r="I10">
        <v>0.503</v>
      </c>
      <c r="J10">
        <v>5.77</v>
      </c>
      <c r="K10">
        <v>9.1</v>
      </c>
      <c r="L10">
        <v>9.1</v>
      </c>
      <c r="M10">
        <v>21</v>
      </c>
      <c r="N10" t="s">
        <v>16</v>
      </c>
    </row>
    <row r="11" spans="1:16" x14ac:dyDescent="0.55000000000000004">
      <c r="A11" t="s">
        <v>29</v>
      </c>
      <c r="B11">
        <v>3527.5</v>
      </c>
      <c r="C11" t="s">
        <v>67</v>
      </c>
      <c r="D11">
        <v>3550</v>
      </c>
      <c r="E11">
        <v>48.5</v>
      </c>
      <c r="F11">
        <v>53.4</v>
      </c>
      <c r="G11">
        <v>-0.13900000000000001</v>
      </c>
      <c r="H11">
        <v>0.498</v>
      </c>
      <c r="I11">
        <v>0.498</v>
      </c>
      <c r="J11">
        <v>-2.38</v>
      </c>
      <c r="K11">
        <v>9.02</v>
      </c>
      <c r="L11">
        <v>9.02</v>
      </c>
      <c r="M11">
        <v>21</v>
      </c>
      <c r="N11" t="s">
        <v>16</v>
      </c>
    </row>
    <row r="12" spans="1:16" x14ac:dyDescent="0.55000000000000004">
      <c r="A12" t="s">
        <v>54</v>
      </c>
      <c r="B12">
        <v>594.79999999999995</v>
      </c>
      <c r="C12" t="s">
        <v>67</v>
      </c>
      <c r="D12">
        <v>590</v>
      </c>
      <c r="E12">
        <v>19</v>
      </c>
      <c r="F12">
        <v>11.45</v>
      </c>
      <c r="G12">
        <v>1.286</v>
      </c>
      <c r="H12">
        <v>0.46800000000000003</v>
      </c>
      <c r="I12">
        <v>0.46800000000000003</v>
      </c>
      <c r="J12">
        <v>24.86</v>
      </c>
      <c r="K12">
        <v>8.4600000000000009</v>
      </c>
      <c r="L12">
        <v>8.4600000000000009</v>
      </c>
      <c r="M12">
        <v>21</v>
      </c>
      <c r="N12" t="s">
        <v>16</v>
      </c>
      <c r="O12">
        <f>D12-B12+E12-F12</f>
        <v>2.7500000000000462</v>
      </c>
      <c r="P12">
        <f>O12/(D12+F12)%</f>
        <v>0.45722836478511031</v>
      </c>
    </row>
    <row r="13" spans="1:16" x14ac:dyDescent="0.55000000000000004">
      <c r="A13" t="s">
        <v>55</v>
      </c>
      <c r="B13">
        <v>3635</v>
      </c>
      <c r="C13" t="s">
        <v>67</v>
      </c>
      <c r="D13">
        <v>3650</v>
      </c>
      <c r="E13">
        <v>57.4</v>
      </c>
      <c r="F13">
        <v>55.65</v>
      </c>
      <c r="G13">
        <v>4.8000000000000001E-2</v>
      </c>
      <c r="H13">
        <v>0.46100000000000002</v>
      </c>
      <c r="I13">
        <v>0.46100000000000002</v>
      </c>
      <c r="J13">
        <v>0.84</v>
      </c>
      <c r="K13">
        <v>8.32</v>
      </c>
      <c r="L13">
        <v>8.32</v>
      </c>
      <c r="M13">
        <v>21</v>
      </c>
      <c r="N13" t="s">
        <v>16</v>
      </c>
    </row>
    <row r="14" spans="1:16" x14ac:dyDescent="0.55000000000000004">
      <c r="A14" t="s">
        <v>39</v>
      </c>
      <c r="B14">
        <v>808</v>
      </c>
      <c r="C14" t="s">
        <v>67</v>
      </c>
      <c r="D14">
        <v>810</v>
      </c>
      <c r="E14">
        <v>12.2</v>
      </c>
      <c r="F14">
        <v>10.5</v>
      </c>
      <c r="G14">
        <v>0.21099999999999999</v>
      </c>
      <c r="H14">
        <v>0.45900000000000002</v>
      </c>
      <c r="I14">
        <v>0.45900000000000002</v>
      </c>
      <c r="J14">
        <v>3.73</v>
      </c>
      <c r="K14">
        <v>8.2799999999999994</v>
      </c>
      <c r="L14">
        <v>8.2799999999999994</v>
      </c>
      <c r="M14">
        <v>21</v>
      </c>
      <c r="N14" t="s">
        <v>16</v>
      </c>
    </row>
    <row r="15" spans="1:16" x14ac:dyDescent="0.55000000000000004">
      <c r="A15" t="s">
        <v>41</v>
      </c>
      <c r="B15">
        <v>1893</v>
      </c>
      <c r="C15" t="s">
        <v>67</v>
      </c>
      <c r="D15">
        <v>1900</v>
      </c>
      <c r="E15">
        <v>28.9</v>
      </c>
      <c r="F15">
        <v>27.3</v>
      </c>
      <c r="G15">
        <v>8.5000000000000006E-2</v>
      </c>
      <c r="H15">
        <v>0.45500000000000002</v>
      </c>
      <c r="I15">
        <v>0.45500000000000002</v>
      </c>
      <c r="J15">
        <v>1.48</v>
      </c>
      <c r="K15">
        <v>8.1999999999999993</v>
      </c>
      <c r="L15">
        <v>8.1999999999999993</v>
      </c>
      <c r="M15">
        <v>21</v>
      </c>
      <c r="N15" t="s">
        <v>16</v>
      </c>
    </row>
    <row r="16" spans="1:16" x14ac:dyDescent="0.55000000000000004">
      <c r="A16" t="s">
        <v>50</v>
      </c>
      <c r="B16">
        <v>1551.5</v>
      </c>
      <c r="C16" t="s">
        <v>67</v>
      </c>
      <c r="D16">
        <v>1560</v>
      </c>
      <c r="E16">
        <v>28.15</v>
      </c>
      <c r="F16">
        <v>29.85</v>
      </c>
      <c r="G16">
        <v>-0.109</v>
      </c>
      <c r="H16">
        <v>0.438</v>
      </c>
      <c r="I16">
        <v>0.438</v>
      </c>
      <c r="J16">
        <v>-1.89</v>
      </c>
      <c r="K16">
        <v>7.89</v>
      </c>
      <c r="L16">
        <v>7.89</v>
      </c>
      <c r="M16">
        <v>21</v>
      </c>
      <c r="N16" t="s">
        <v>16</v>
      </c>
    </row>
    <row r="17" spans="1:14" x14ac:dyDescent="0.55000000000000004">
      <c r="A17" t="s">
        <v>20</v>
      </c>
      <c r="B17">
        <v>231.8</v>
      </c>
      <c r="C17" t="s">
        <v>67</v>
      </c>
      <c r="D17">
        <v>230</v>
      </c>
      <c r="E17">
        <v>5.65</v>
      </c>
      <c r="F17">
        <v>2.85</v>
      </c>
      <c r="G17">
        <v>1.2230000000000001</v>
      </c>
      <c r="H17">
        <v>0.437</v>
      </c>
      <c r="I17">
        <v>0.437</v>
      </c>
      <c r="J17">
        <v>23.52</v>
      </c>
      <c r="K17">
        <v>7.87</v>
      </c>
      <c r="L17">
        <v>7.87</v>
      </c>
      <c r="M17">
        <v>21</v>
      </c>
      <c r="N17" t="s">
        <v>16</v>
      </c>
    </row>
    <row r="18" spans="1:14" x14ac:dyDescent="0.55000000000000004">
      <c r="A18" t="s">
        <v>51</v>
      </c>
      <c r="B18">
        <v>1502.4</v>
      </c>
      <c r="C18" t="s">
        <v>67</v>
      </c>
      <c r="D18">
        <v>1500</v>
      </c>
      <c r="E18">
        <v>37.450000000000003</v>
      </c>
      <c r="F18">
        <v>28.6</v>
      </c>
      <c r="G18">
        <v>0.59299999999999997</v>
      </c>
      <c r="H18">
        <v>0.432</v>
      </c>
      <c r="I18">
        <v>0.432</v>
      </c>
      <c r="J18">
        <v>10.81</v>
      </c>
      <c r="K18">
        <v>7.78</v>
      </c>
      <c r="L18">
        <v>7.78</v>
      </c>
      <c r="M18">
        <v>21</v>
      </c>
      <c r="N18" t="s">
        <v>16</v>
      </c>
    </row>
    <row r="19" spans="1:14" x14ac:dyDescent="0.55000000000000004">
      <c r="A19" t="s">
        <v>49</v>
      </c>
      <c r="B19">
        <v>3052</v>
      </c>
      <c r="C19" t="s">
        <v>67</v>
      </c>
      <c r="D19">
        <v>3060</v>
      </c>
      <c r="E19">
        <v>56.6</v>
      </c>
      <c r="F19">
        <v>51.7</v>
      </c>
      <c r="G19">
        <v>0.161</v>
      </c>
      <c r="H19">
        <v>0.42299999999999999</v>
      </c>
      <c r="I19">
        <v>0.42299999999999999</v>
      </c>
      <c r="J19">
        <v>2.83</v>
      </c>
      <c r="K19">
        <v>7.62</v>
      </c>
      <c r="L19">
        <v>7.62</v>
      </c>
      <c r="M19">
        <v>21</v>
      </c>
      <c r="N19" t="s">
        <v>16</v>
      </c>
    </row>
    <row r="20" spans="1:14" x14ac:dyDescent="0.55000000000000004">
      <c r="A20" t="s">
        <v>22</v>
      </c>
      <c r="B20">
        <v>715.2</v>
      </c>
      <c r="C20" t="s">
        <v>67</v>
      </c>
      <c r="D20">
        <v>720</v>
      </c>
      <c r="E20">
        <v>15.9</v>
      </c>
      <c r="F20">
        <v>17.7</v>
      </c>
      <c r="G20">
        <v>-0.251</v>
      </c>
      <c r="H20">
        <v>0.41799999999999998</v>
      </c>
      <c r="I20">
        <v>0.41799999999999998</v>
      </c>
      <c r="J20">
        <v>-4.2699999999999996</v>
      </c>
      <c r="K20">
        <v>7.53</v>
      </c>
      <c r="L20">
        <v>7.53</v>
      </c>
      <c r="M20">
        <v>21</v>
      </c>
      <c r="N20" t="s">
        <v>16</v>
      </c>
    </row>
    <row r="21" spans="1:14" x14ac:dyDescent="0.55000000000000004">
      <c r="A21" t="s">
        <v>27</v>
      </c>
      <c r="B21">
        <v>2026.6</v>
      </c>
      <c r="C21" t="s">
        <v>67</v>
      </c>
      <c r="D21">
        <v>2020</v>
      </c>
      <c r="E21">
        <v>44.1</v>
      </c>
      <c r="F21">
        <v>29.35</v>
      </c>
      <c r="G21">
        <v>0.73299999999999998</v>
      </c>
      <c r="H21">
        <v>0.40500000000000003</v>
      </c>
      <c r="I21">
        <v>0.40500000000000003</v>
      </c>
      <c r="J21">
        <v>13.54</v>
      </c>
      <c r="K21">
        <v>7.28</v>
      </c>
      <c r="L21">
        <v>7.28</v>
      </c>
      <c r="M21">
        <v>21</v>
      </c>
      <c r="N21" t="s">
        <v>16</v>
      </c>
    </row>
    <row r="22" spans="1:14" x14ac:dyDescent="0.55000000000000004">
      <c r="A22" t="s">
        <v>26</v>
      </c>
      <c r="B22">
        <v>746</v>
      </c>
      <c r="C22" t="s">
        <v>67</v>
      </c>
      <c r="D22">
        <v>750</v>
      </c>
      <c r="E22">
        <v>17.350000000000001</v>
      </c>
      <c r="F22">
        <v>18.55</v>
      </c>
      <c r="G22">
        <v>-0.161</v>
      </c>
      <c r="H22">
        <v>0.375</v>
      </c>
      <c r="I22">
        <v>0.375</v>
      </c>
      <c r="J22">
        <v>-2.75</v>
      </c>
      <c r="K22">
        <v>6.72</v>
      </c>
      <c r="L22">
        <v>6.72</v>
      </c>
      <c r="M22">
        <v>21</v>
      </c>
      <c r="N22" t="s">
        <v>16</v>
      </c>
    </row>
    <row r="23" spans="1:14" x14ac:dyDescent="0.55000000000000004">
      <c r="A23" t="s">
        <v>30</v>
      </c>
      <c r="B23">
        <v>2640.2</v>
      </c>
      <c r="C23" t="s">
        <v>67</v>
      </c>
      <c r="D23">
        <v>2640</v>
      </c>
      <c r="E23">
        <v>48</v>
      </c>
      <c r="F23">
        <v>38.299999999999997</v>
      </c>
      <c r="G23">
        <v>0.36899999999999999</v>
      </c>
      <c r="H23">
        <v>0.36099999999999999</v>
      </c>
      <c r="I23">
        <v>0.36099999999999999</v>
      </c>
      <c r="J23">
        <v>6.61</v>
      </c>
      <c r="K23">
        <v>6.47</v>
      </c>
      <c r="L23">
        <v>6.47</v>
      </c>
      <c r="M23">
        <v>21</v>
      </c>
      <c r="N23" t="s">
        <v>16</v>
      </c>
    </row>
    <row r="24" spans="1:14" x14ac:dyDescent="0.55000000000000004">
      <c r="A24" t="s">
        <v>14</v>
      </c>
      <c r="B24">
        <v>169.45</v>
      </c>
      <c r="C24" t="s">
        <v>67</v>
      </c>
      <c r="D24">
        <v>170</v>
      </c>
      <c r="E24">
        <v>3.6</v>
      </c>
      <c r="F24">
        <v>3.55</v>
      </c>
      <c r="G24">
        <v>0.03</v>
      </c>
      <c r="H24">
        <v>0.35399999999999998</v>
      </c>
      <c r="I24">
        <v>0.35399999999999998</v>
      </c>
      <c r="J24">
        <v>0.51</v>
      </c>
      <c r="K24">
        <v>6.34</v>
      </c>
      <c r="L24">
        <v>6.34</v>
      </c>
      <c r="M24">
        <v>21</v>
      </c>
      <c r="N24" t="s">
        <v>16</v>
      </c>
    </row>
    <row r="25" spans="1:14" x14ac:dyDescent="0.55000000000000004">
      <c r="A25" t="s">
        <v>44</v>
      </c>
      <c r="B25">
        <v>762.35</v>
      </c>
      <c r="C25" t="s">
        <v>67</v>
      </c>
      <c r="D25">
        <v>760</v>
      </c>
      <c r="E25">
        <v>17.600000000000001</v>
      </c>
      <c r="F25">
        <v>12.6</v>
      </c>
      <c r="G25">
        <v>0.66</v>
      </c>
      <c r="H25">
        <v>0.35</v>
      </c>
      <c r="I25">
        <v>0.35</v>
      </c>
      <c r="J25">
        <v>12.12</v>
      </c>
      <c r="K25">
        <v>6.26</v>
      </c>
      <c r="L25">
        <v>6.26</v>
      </c>
      <c r="M25">
        <v>21</v>
      </c>
      <c r="N25" t="s">
        <v>16</v>
      </c>
    </row>
    <row r="26" spans="1:14" x14ac:dyDescent="0.55000000000000004">
      <c r="A26" t="s">
        <v>58</v>
      </c>
      <c r="B26">
        <v>314.95</v>
      </c>
      <c r="C26" t="s">
        <v>67</v>
      </c>
      <c r="D26">
        <v>315</v>
      </c>
      <c r="E26">
        <v>7.45</v>
      </c>
      <c r="F26">
        <v>6.4</v>
      </c>
      <c r="G26">
        <v>0.33500000000000002</v>
      </c>
      <c r="H26">
        <v>0.35</v>
      </c>
      <c r="I26">
        <v>0.35</v>
      </c>
      <c r="J26">
        <v>5.98</v>
      </c>
      <c r="K26">
        <v>6.27</v>
      </c>
      <c r="L26">
        <v>6.27</v>
      </c>
      <c r="M26">
        <v>21</v>
      </c>
      <c r="N26" t="s">
        <v>16</v>
      </c>
    </row>
    <row r="27" spans="1:14" x14ac:dyDescent="0.55000000000000004">
      <c r="A27" t="s">
        <v>36</v>
      </c>
      <c r="B27">
        <v>1402.4</v>
      </c>
      <c r="C27" t="s">
        <v>67</v>
      </c>
      <c r="D27">
        <v>1400</v>
      </c>
      <c r="E27">
        <v>21.8</v>
      </c>
      <c r="F27">
        <v>14.65</v>
      </c>
      <c r="G27">
        <v>0.51200000000000001</v>
      </c>
      <c r="H27">
        <v>0.34</v>
      </c>
      <c r="I27">
        <v>0.34</v>
      </c>
      <c r="J27">
        <v>9.2899999999999991</v>
      </c>
      <c r="K27">
        <v>6.09</v>
      </c>
      <c r="L27">
        <v>6.09</v>
      </c>
      <c r="M27">
        <v>21</v>
      </c>
      <c r="N27" t="s">
        <v>16</v>
      </c>
    </row>
    <row r="28" spans="1:14" x14ac:dyDescent="0.55000000000000004">
      <c r="A28" t="s">
        <v>37</v>
      </c>
      <c r="B28">
        <v>12562</v>
      </c>
      <c r="C28" t="s">
        <v>67</v>
      </c>
      <c r="D28">
        <v>12600</v>
      </c>
      <c r="E28">
        <v>224.95</v>
      </c>
      <c r="F28">
        <v>221</v>
      </c>
      <c r="G28">
        <v>3.1E-2</v>
      </c>
      <c r="H28">
        <v>0.33400000000000002</v>
      </c>
      <c r="I28">
        <v>0.33400000000000002</v>
      </c>
      <c r="J28">
        <v>0.55000000000000004</v>
      </c>
      <c r="K28">
        <v>5.97</v>
      </c>
      <c r="L28">
        <v>5.97</v>
      </c>
      <c r="M28">
        <v>21</v>
      </c>
      <c r="N28" t="s">
        <v>16</v>
      </c>
    </row>
    <row r="29" spans="1:14" x14ac:dyDescent="0.55000000000000004">
      <c r="A29" t="s">
        <v>45</v>
      </c>
      <c r="B29">
        <v>1496.5</v>
      </c>
      <c r="C29" t="s">
        <v>67</v>
      </c>
      <c r="D29">
        <v>1500</v>
      </c>
      <c r="E29">
        <v>32.200000000000003</v>
      </c>
      <c r="F29">
        <v>30.85</v>
      </c>
      <c r="G29">
        <v>0.09</v>
      </c>
      <c r="H29">
        <v>0.32400000000000001</v>
      </c>
      <c r="I29">
        <v>0.32400000000000001</v>
      </c>
      <c r="J29">
        <v>1.58</v>
      </c>
      <c r="K29">
        <v>5.79</v>
      </c>
      <c r="L29">
        <v>5.79</v>
      </c>
      <c r="M29">
        <v>21</v>
      </c>
      <c r="N29" t="s">
        <v>16</v>
      </c>
    </row>
    <row r="30" spans="1:14" x14ac:dyDescent="0.55000000000000004">
      <c r="A30" t="s">
        <v>28</v>
      </c>
      <c r="B30">
        <v>1594</v>
      </c>
      <c r="C30" t="s">
        <v>67</v>
      </c>
      <c r="D30">
        <v>1600</v>
      </c>
      <c r="E30">
        <v>24.95</v>
      </c>
      <c r="F30">
        <v>25.9</v>
      </c>
      <c r="G30">
        <v>-0.06</v>
      </c>
      <c r="H30">
        <v>0.317</v>
      </c>
      <c r="I30">
        <v>0.317</v>
      </c>
      <c r="J30">
        <v>-1.03</v>
      </c>
      <c r="K30">
        <v>5.65</v>
      </c>
      <c r="L30">
        <v>5.65</v>
      </c>
      <c r="M30">
        <v>21</v>
      </c>
      <c r="N30" t="s">
        <v>16</v>
      </c>
    </row>
    <row r="31" spans="1:14" x14ac:dyDescent="0.55000000000000004">
      <c r="A31" t="s">
        <v>59</v>
      </c>
      <c r="B31">
        <v>1109</v>
      </c>
      <c r="C31" t="s">
        <v>67</v>
      </c>
      <c r="D31">
        <v>1110</v>
      </c>
      <c r="E31">
        <v>24.1</v>
      </c>
      <c r="F31">
        <v>21.65</v>
      </c>
      <c r="G31">
        <v>0.221</v>
      </c>
      <c r="H31">
        <v>0.312</v>
      </c>
      <c r="I31">
        <v>0.312</v>
      </c>
      <c r="J31">
        <v>3.92</v>
      </c>
      <c r="K31">
        <v>5.56</v>
      </c>
      <c r="L31">
        <v>5.56</v>
      </c>
      <c r="M31">
        <v>21</v>
      </c>
      <c r="N31" t="s">
        <v>16</v>
      </c>
    </row>
    <row r="32" spans="1:14" x14ac:dyDescent="0.55000000000000004">
      <c r="A32" t="s">
        <v>21</v>
      </c>
      <c r="B32">
        <v>1376.1</v>
      </c>
      <c r="C32" t="s">
        <v>67</v>
      </c>
      <c r="D32">
        <v>1380</v>
      </c>
      <c r="E32">
        <v>24.05</v>
      </c>
      <c r="F32">
        <v>23.7</v>
      </c>
      <c r="G32">
        <v>2.5000000000000001E-2</v>
      </c>
      <c r="H32">
        <v>0.309</v>
      </c>
      <c r="I32">
        <v>0.309</v>
      </c>
      <c r="J32">
        <v>0.44</v>
      </c>
      <c r="K32">
        <v>5.51</v>
      </c>
      <c r="L32">
        <v>5.51</v>
      </c>
      <c r="M32">
        <v>21</v>
      </c>
      <c r="N32" t="s">
        <v>16</v>
      </c>
    </row>
    <row r="33" spans="1:14" x14ac:dyDescent="0.55000000000000004">
      <c r="A33" t="s">
        <v>46</v>
      </c>
      <c r="B33">
        <v>947.5</v>
      </c>
      <c r="C33" t="s">
        <v>67</v>
      </c>
      <c r="D33">
        <v>950</v>
      </c>
      <c r="E33">
        <v>19</v>
      </c>
      <c r="F33">
        <v>18.649999999999999</v>
      </c>
      <c r="G33">
        <v>3.6999999999999998E-2</v>
      </c>
      <c r="H33">
        <v>0.30099999999999999</v>
      </c>
      <c r="I33">
        <v>0.30099999999999999</v>
      </c>
      <c r="J33">
        <v>0.64</v>
      </c>
      <c r="K33">
        <v>5.36</v>
      </c>
      <c r="L33">
        <v>5.36</v>
      </c>
      <c r="M33">
        <v>21</v>
      </c>
      <c r="N33" t="s">
        <v>16</v>
      </c>
    </row>
    <row r="34" spans="1:14" x14ac:dyDescent="0.55000000000000004">
      <c r="A34" t="s">
        <v>43</v>
      </c>
      <c r="B34">
        <v>1960.4</v>
      </c>
      <c r="C34" t="s">
        <v>67</v>
      </c>
      <c r="D34">
        <v>1960</v>
      </c>
      <c r="E34">
        <v>34.9</v>
      </c>
      <c r="F34">
        <v>29.2</v>
      </c>
      <c r="G34">
        <v>0.29199999999999998</v>
      </c>
      <c r="H34">
        <v>0.27100000000000002</v>
      </c>
      <c r="I34">
        <v>0.27100000000000002</v>
      </c>
      <c r="J34">
        <v>5.19</v>
      </c>
      <c r="K34">
        <v>4.82</v>
      </c>
      <c r="L34">
        <v>4.82</v>
      </c>
      <c r="M34">
        <v>21</v>
      </c>
      <c r="N34" t="s">
        <v>16</v>
      </c>
    </row>
    <row r="35" spans="1:14" x14ac:dyDescent="0.55000000000000004">
      <c r="A35" t="s">
        <v>19</v>
      </c>
      <c r="B35">
        <v>410</v>
      </c>
      <c r="C35" t="s">
        <v>67</v>
      </c>
      <c r="D35">
        <v>410</v>
      </c>
      <c r="E35">
        <v>5.75</v>
      </c>
      <c r="F35">
        <v>4.75</v>
      </c>
      <c r="G35">
        <v>0.24399999999999999</v>
      </c>
      <c r="H35">
        <v>0.24399999999999999</v>
      </c>
      <c r="I35">
        <v>0.24399999999999999</v>
      </c>
      <c r="J35">
        <v>4.34</v>
      </c>
      <c r="K35">
        <v>4.34</v>
      </c>
      <c r="L35">
        <v>4.34</v>
      </c>
      <c r="M35">
        <v>21</v>
      </c>
      <c r="N35" t="s">
        <v>16</v>
      </c>
    </row>
    <row r="36" spans="1:14" x14ac:dyDescent="0.55000000000000004">
      <c r="A36" t="s">
        <v>24</v>
      </c>
      <c r="B36">
        <v>2313.8000000000002</v>
      </c>
      <c r="C36" t="s">
        <v>67</v>
      </c>
      <c r="D36">
        <v>2300</v>
      </c>
      <c r="E36">
        <v>64.25</v>
      </c>
      <c r="F36">
        <v>45</v>
      </c>
      <c r="G36">
        <v>0.83899999999999997</v>
      </c>
      <c r="H36">
        <v>0.23799999999999999</v>
      </c>
      <c r="I36">
        <v>0.23799999999999999</v>
      </c>
      <c r="J36">
        <v>15.63</v>
      </c>
      <c r="K36">
        <v>4.21</v>
      </c>
      <c r="L36">
        <v>4.21</v>
      </c>
      <c r="M36">
        <v>21</v>
      </c>
      <c r="N36" t="s">
        <v>16</v>
      </c>
    </row>
    <row r="37" spans="1:14" x14ac:dyDescent="0.55000000000000004">
      <c r="A37" t="s">
        <v>65</v>
      </c>
      <c r="B37">
        <v>1810</v>
      </c>
      <c r="C37" t="s">
        <v>67</v>
      </c>
      <c r="D37">
        <v>1800</v>
      </c>
      <c r="E37">
        <v>41.7</v>
      </c>
      <c r="F37">
        <v>27.55</v>
      </c>
      <c r="G37">
        <v>0.78800000000000003</v>
      </c>
      <c r="H37">
        <v>0.23100000000000001</v>
      </c>
      <c r="I37">
        <v>0.23100000000000001</v>
      </c>
      <c r="J37">
        <v>14.62</v>
      </c>
      <c r="K37">
        <v>4.09</v>
      </c>
      <c r="L37">
        <v>4.09</v>
      </c>
      <c r="M37">
        <v>21</v>
      </c>
      <c r="N37" t="s">
        <v>16</v>
      </c>
    </row>
    <row r="38" spans="1:14" x14ac:dyDescent="0.55000000000000004">
      <c r="A38" t="s">
        <v>35</v>
      </c>
      <c r="B38">
        <v>742.5</v>
      </c>
      <c r="C38" t="s">
        <v>67</v>
      </c>
      <c r="D38">
        <v>740</v>
      </c>
      <c r="E38">
        <v>17</v>
      </c>
      <c r="F38">
        <v>12.8</v>
      </c>
      <c r="G38">
        <v>0.56899999999999995</v>
      </c>
      <c r="H38">
        <v>0.23</v>
      </c>
      <c r="I38">
        <v>0.23</v>
      </c>
      <c r="J38">
        <v>10.36</v>
      </c>
      <c r="K38">
        <v>4.08</v>
      </c>
      <c r="L38">
        <v>4.08</v>
      </c>
      <c r="M38">
        <v>21</v>
      </c>
      <c r="N38" t="s">
        <v>16</v>
      </c>
    </row>
    <row r="39" spans="1:14" x14ac:dyDescent="0.55000000000000004">
      <c r="A39" t="s">
        <v>52</v>
      </c>
      <c r="B39">
        <v>1382.5</v>
      </c>
      <c r="C39" t="s">
        <v>67</v>
      </c>
      <c r="D39">
        <v>1380</v>
      </c>
      <c r="E39">
        <v>28.7</v>
      </c>
      <c r="F39">
        <v>23.05</v>
      </c>
      <c r="G39">
        <v>0.41</v>
      </c>
      <c r="H39">
        <v>0.22900000000000001</v>
      </c>
      <c r="I39">
        <v>0.22900000000000001</v>
      </c>
      <c r="J39">
        <v>7.38</v>
      </c>
      <c r="K39">
        <v>4.05</v>
      </c>
      <c r="L39">
        <v>4.05</v>
      </c>
      <c r="M39">
        <v>21</v>
      </c>
      <c r="N39" t="s">
        <v>16</v>
      </c>
    </row>
    <row r="40" spans="1:14" x14ac:dyDescent="0.55000000000000004">
      <c r="A40" t="s">
        <v>31</v>
      </c>
      <c r="B40">
        <v>284.14999999999998</v>
      </c>
      <c r="C40" t="s">
        <v>67</v>
      </c>
      <c r="D40">
        <v>285</v>
      </c>
      <c r="E40">
        <v>4.55</v>
      </c>
      <c r="F40">
        <v>4.75</v>
      </c>
      <c r="G40">
        <v>-7.0000000000000007E-2</v>
      </c>
      <c r="H40">
        <v>0.22900000000000001</v>
      </c>
      <c r="I40">
        <v>0.22900000000000001</v>
      </c>
      <c r="J40">
        <v>-1.22</v>
      </c>
      <c r="K40">
        <v>4.05</v>
      </c>
      <c r="L40">
        <v>4.05</v>
      </c>
      <c r="M40">
        <v>21</v>
      </c>
      <c r="N40" t="s">
        <v>16</v>
      </c>
    </row>
    <row r="41" spans="1:14" x14ac:dyDescent="0.55000000000000004">
      <c r="A41" t="s">
        <v>18</v>
      </c>
      <c r="B41">
        <v>3702</v>
      </c>
      <c r="C41" t="s">
        <v>67</v>
      </c>
      <c r="D41">
        <v>3700</v>
      </c>
      <c r="E41">
        <v>88</v>
      </c>
      <c r="F41">
        <v>78</v>
      </c>
      <c r="G41">
        <v>0.27100000000000002</v>
      </c>
      <c r="H41">
        <v>0.217</v>
      </c>
      <c r="I41">
        <v>0.217</v>
      </c>
      <c r="J41">
        <v>4.8099999999999996</v>
      </c>
      <c r="K41">
        <v>3.83</v>
      </c>
      <c r="L41">
        <v>3.83</v>
      </c>
      <c r="M41">
        <v>21</v>
      </c>
      <c r="N41" t="s">
        <v>16</v>
      </c>
    </row>
    <row r="42" spans="1:14" x14ac:dyDescent="0.55000000000000004">
      <c r="A42" t="s">
        <v>64</v>
      </c>
      <c r="B42">
        <v>2541.3000000000002</v>
      </c>
      <c r="C42" t="s">
        <v>67</v>
      </c>
      <c r="D42">
        <v>2540</v>
      </c>
      <c r="E42">
        <v>47</v>
      </c>
      <c r="F42">
        <v>40.299999999999997</v>
      </c>
      <c r="G42">
        <v>0.26400000000000001</v>
      </c>
      <c r="H42">
        <v>0.21299999999999999</v>
      </c>
      <c r="I42">
        <v>0.21299999999999999</v>
      </c>
      <c r="J42">
        <v>4.7</v>
      </c>
      <c r="K42">
        <v>3.77</v>
      </c>
      <c r="L42">
        <v>3.77</v>
      </c>
      <c r="M42">
        <v>21</v>
      </c>
      <c r="N42" t="s">
        <v>16</v>
      </c>
    </row>
    <row r="43" spans="1:14" x14ac:dyDescent="0.55000000000000004">
      <c r="A43" t="s">
        <v>17</v>
      </c>
      <c r="B43">
        <v>388.75</v>
      </c>
      <c r="C43" t="s">
        <v>67</v>
      </c>
      <c r="D43">
        <v>390</v>
      </c>
      <c r="E43">
        <v>5.9</v>
      </c>
      <c r="F43">
        <v>6.4</v>
      </c>
      <c r="G43">
        <v>-0.128</v>
      </c>
      <c r="H43">
        <v>0.193</v>
      </c>
      <c r="I43">
        <v>0.193</v>
      </c>
      <c r="J43">
        <v>-2.21</v>
      </c>
      <c r="K43">
        <v>3.4</v>
      </c>
      <c r="L43">
        <v>3.4</v>
      </c>
      <c r="M43">
        <v>21</v>
      </c>
      <c r="N43" t="s">
        <v>16</v>
      </c>
    </row>
    <row r="44" spans="1:14" x14ac:dyDescent="0.55000000000000004">
      <c r="A44" t="s">
        <v>48</v>
      </c>
      <c r="B44">
        <v>966.45</v>
      </c>
      <c r="C44" t="s">
        <v>67</v>
      </c>
      <c r="D44">
        <v>970</v>
      </c>
      <c r="E44">
        <v>12.45</v>
      </c>
      <c r="F44">
        <v>14.25</v>
      </c>
      <c r="G44">
        <v>-0.186</v>
      </c>
      <c r="H44">
        <v>0.18099999999999999</v>
      </c>
      <c r="I44">
        <v>0.18099999999999999</v>
      </c>
      <c r="J44">
        <v>-3.18</v>
      </c>
      <c r="K44">
        <v>3.19</v>
      </c>
      <c r="L44">
        <v>3.19</v>
      </c>
      <c r="M44">
        <v>21</v>
      </c>
      <c r="N44" t="s">
        <v>16</v>
      </c>
    </row>
    <row r="45" spans="1:14" x14ac:dyDescent="0.55000000000000004">
      <c r="A45" t="s">
        <v>47</v>
      </c>
      <c r="B45">
        <v>6893.5</v>
      </c>
      <c r="C45" t="s">
        <v>67</v>
      </c>
      <c r="D45">
        <v>6900</v>
      </c>
      <c r="E45">
        <v>134</v>
      </c>
      <c r="F45">
        <v>130.65</v>
      </c>
      <c r="G45">
        <v>4.9000000000000002E-2</v>
      </c>
      <c r="H45">
        <v>0.14299999999999999</v>
      </c>
      <c r="I45">
        <v>0.14299999999999999</v>
      </c>
      <c r="J45">
        <v>0.85</v>
      </c>
      <c r="K45">
        <v>2.5099999999999998</v>
      </c>
      <c r="L45">
        <v>2.5099999999999998</v>
      </c>
      <c r="M45">
        <v>21</v>
      </c>
      <c r="N45" t="s">
        <v>16</v>
      </c>
    </row>
    <row r="46" spans="1:14" x14ac:dyDescent="0.55000000000000004">
      <c r="A46" t="s">
        <v>23</v>
      </c>
      <c r="B46">
        <v>249.34</v>
      </c>
      <c r="C46" t="s">
        <v>67</v>
      </c>
      <c r="D46">
        <v>250</v>
      </c>
      <c r="E46">
        <v>5.2</v>
      </c>
      <c r="F46">
        <v>5.75</v>
      </c>
      <c r="G46">
        <v>-0.22</v>
      </c>
      <c r="H46">
        <v>4.3999999999999997E-2</v>
      </c>
      <c r="I46">
        <v>4.3999999999999997E-2</v>
      </c>
      <c r="J46">
        <v>-3.76</v>
      </c>
      <c r="K46">
        <v>0.77</v>
      </c>
      <c r="L46">
        <v>0.77</v>
      </c>
      <c r="M46">
        <v>21</v>
      </c>
      <c r="N46" t="s">
        <v>16</v>
      </c>
    </row>
    <row r="47" spans="1:14" x14ac:dyDescent="0.55000000000000004">
      <c r="A47" t="s">
        <v>60</v>
      </c>
      <c r="B47">
        <v>15339</v>
      </c>
      <c r="C47" t="s">
        <v>67</v>
      </c>
      <c r="D47">
        <v>15300</v>
      </c>
      <c r="E47">
        <v>233</v>
      </c>
      <c r="F47">
        <v>217</v>
      </c>
      <c r="G47">
        <v>0.104</v>
      </c>
      <c r="H47">
        <v>-0.15</v>
      </c>
      <c r="I47">
        <v>-0.15</v>
      </c>
      <c r="J47">
        <v>1.83</v>
      </c>
      <c r="K47">
        <v>-2.58</v>
      </c>
      <c r="L47">
        <v>-2.58</v>
      </c>
      <c r="M47">
        <v>21</v>
      </c>
      <c r="N47" t="s">
        <v>16</v>
      </c>
    </row>
    <row r="48" spans="1:14" x14ac:dyDescent="0.55000000000000004">
      <c r="A48" t="s">
        <v>61</v>
      </c>
      <c r="B48">
        <v>9390</v>
      </c>
      <c r="C48" t="s">
        <v>67</v>
      </c>
      <c r="D48">
        <v>9400</v>
      </c>
      <c r="E48">
        <v>177.5</v>
      </c>
      <c r="F48">
        <v>207</v>
      </c>
      <c r="G48">
        <v>-0.313</v>
      </c>
      <c r="H48">
        <v>-0.20699999999999999</v>
      </c>
      <c r="I48">
        <v>-0.20699999999999999</v>
      </c>
      <c r="J48">
        <v>-5.31</v>
      </c>
      <c r="K48">
        <v>-3.54</v>
      </c>
      <c r="L48">
        <v>-3.54</v>
      </c>
      <c r="M48">
        <v>21</v>
      </c>
      <c r="N48" t="s">
        <v>16</v>
      </c>
    </row>
    <row r="49" spans="1:14" x14ac:dyDescent="0.55000000000000004">
      <c r="A49" t="s">
        <v>63</v>
      </c>
      <c r="B49">
        <v>5445</v>
      </c>
      <c r="C49" t="s">
        <v>67</v>
      </c>
      <c r="D49">
        <v>5450</v>
      </c>
      <c r="E49">
        <v>113.5</v>
      </c>
      <c r="F49">
        <v>134.35</v>
      </c>
      <c r="G49">
        <v>-0.38100000000000001</v>
      </c>
      <c r="H49">
        <v>-0.28999999999999998</v>
      </c>
      <c r="I49">
        <v>-0.28999999999999998</v>
      </c>
      <c r="J49">
        <v>-6.43</v>
      </c>
      <c r="K49">
        <v>-4.92</v>
      </c>
      <c r="L49">
        <v>-4.92</v>
      </c>
      <c r="M49">
        <v>21</v>
      </c>
      <c r="N49" t="s">
        <v>16</v>
      </c>
    </row>
    <row r="50" spans="1:14" x14ac:dyDescent="0.55000000000000004">
      <c r="A50" t="s">
        <v>62</v>
      </c>
      <c r="B50">
        <v>1294.4000000000001</v>
      </c>
      <c r="C50" t="s">
        <v>67</v>
      </c>
      <c r="D50">
        <v>1300</v>
      </c>
      <c r="E50">
        <v>20</v>
      </c>
      <c r="F50">
        <v>31.5</v>
      </c>
      <c r="G50">
        <v>-0.88100000000000001</v>
      </c>
      <c r="H50">
        <v>-0.45200000000000001</v>
      </c>
      <c r="I50">
        <v>-0.45200000000000001</v>
      </c>
      <c r="J50">
        <v>-14.25</v>
      </c>
      <c r="K50">
        <v>-7.57</v>
      </c>
      <c r="L50">
        <v>-7.57</v>
      </c>
      <c r="M50">
        <v>21</v>
      </c>
      <c r="N50" t="s">
        <v>16</v>
      </c>
    </row>
    <row r="51" spans="1:14" x14ac:dyDescent="0.55000000000000004">
      <c r="A51" t="s">
        <v>66</v>
      </c>
      <c r="B51">
        <v>5173</v>
      </c>
      <c r="C51" t="s">
        <v>67</v>
      </c>
      <c r="D51">
        <v>5200</v>
      </c>
      <c r="E51">
        <v>111.1</v>
      </c>
      <c r="F51">
        <v>165.55</v>
      </c>
      <c r="G51">
        <v>-1.042</v>
      </c>
      <c r="H51">
        <v>-0.52500000000000002</v>
      </c>
      <c r="I51">
        <v>-0.52500000000000002</v>
      </c>
      <c r="J51">
        <v>-16.64</v>
      </c>
      <c r="K51">
        <v>-8.74</v>
      </c>
      <c r="L51">
        <v>-8.74</v>
      </c>
      <c r="M51">
        <v>21</v>
      </c>
      <c r="N51" t="s">
        <v>16</v>
      </c>
    </row>
  </sheetData>
  <autoFilter ref="A1:P1" xr:uid="{00000000-0001-0000-0200-000000000000}"/>
  <sortState xmlns:xlrd2="http://schemas.microsoft.com/office/spreadsheetml/2017/richdata2" ref="A1:P51">
    <sortCondition descending="1" ref="H1:H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25-Nov-2025</vt:lpstr>
      <vt:lpstr>28-Oct-2025</vt:lpstr>
      <vt:lpstr>30-Sep-2025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Tomar</cp:lastModifiedBy>
  <dcterms:created xsi:type="dcterms:W3CDTF">2025-09-09T10:30:50Z</dcterms:created>
  <dcterms:modified xsi:type="dcterms:W3CDTF">2025-09-09T10:45:53Z</dcterms:modified>
</cp:coreProperties>
</file>